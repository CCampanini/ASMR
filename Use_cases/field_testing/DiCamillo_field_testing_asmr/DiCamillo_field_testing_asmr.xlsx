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vpm-my.sharepoint.com/personal/s1116344_pm_univpm_it/Documents/PhD/ASMR/Use_cases/ASMR_Gioia/"/>
    </mc:Choice>
  </mc:AlternateContent>
  <xr:revisionPtr revIDLastSave="639" documentId="8_{EFAEFAC3-690E-4DEC-BEA6-F06FAFF8170D}" xr6:coauthVersionLast="47" xr6:coauthVersionMax="47" xr10:uidLastSave="{F788F278-CEDD-4C3A-9A43-2CDBC75F8C4A}"/>
  <bookViews>
    <workbookView xWindow="-108" yWindow="-108" windowWidth="23256" windowHeight="12456" activeTab="3" xr2:uid="{AFBFBA82-9AEE-4DB2-BCE9-4DEFE9217D81}"/>
  </bookViews>
  <sheets>
    <sheet name="README" sheetId="25" r:id="rId1"/>
    <sheet name="ASMRMetadata" sheetId="23" r:id="rId2"/>
    <sheet name="project" sheetId="2" r:id="rId3"/>
    <sheet name="dataManagement" sheetId="3" r:id="rId4"/>
    <sheet name="event" sheetId="17" r:id="rId5"/>
    <sheet name="location" sheetId="8" r:id="rId6"/>
    <sheet name="spatialScope" sheetId="9" r:id="rId7"/>
    <sheet name="taxonomicScope" sheetId="18" r:id="rId8"/>
    <sheet name="organismalScope" sheetId="19" r:id="rId9"/>
    <sheet name="materials" sheetId="11" r:id="rId10"/>
    <sheet name="methods" sheetId="10" r:id="rId11"/>
    <sheet name="samplingEffort" sheetId="24" r:id="rId12"/>
    <sheet name="safety" sheetId="14" r:id="rId13"/>
    <sheet name="costAnalysis" sheetId="16" r:id="rId14"/>
    <sheet name="materialSample" sheetId="12" r:id="rId15"/>
    <sheet name="digitalSample" sheetId="13" r:id="rId16"/>
    <sheet name="parameters" sheetId="15"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7" i="24" l="1"/>
  <c r="E4" i="17"/>
  <c r="E5" i="17"/>
  <c r="E6" i="17"/>
  <c r="E7" i="17"/>
  <c r="E8" i="17"/>
  <c r="E9" i="17"/>
  <c r="E3"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11B11E-CFBF-4F7D-BFF8-E0753FDA89A4}" keepAlive="1" name="Query - 2" description="Connection to the '2' query in the workbook." type="5" refreshedVersion="0" background="1" saveData="1">
    <dbPr connection="Provider=Microsoft.Mashup.OleDb.1;Data Source=$Workbook$;Location=2;Extended Properties=&quot;&quot;" command="SELECT * FROM [2]"/>
  </connection>
  <connection id="2" xr16:uid="{DF62A100-E1F6-4378-B5AE-4BC1F716893A}" keepAlive="1" name="Query - 2 (2)" description="Connection to the '2 (2)' query in the workbook." type="5" refreshedVersion="8" background="1" saveData="1">
    <dbPr connection="Provider=Microsoft.Mashup.OleDb.1;Data Source=$Workbook$;Location=&quot;2 (2)&quot;;Extended Properties=&quot;&quot;" command="SELECT * FROM [2 (2)]"/>
  </connection>
  <connection id="3" xr16:uid="{D58C4DC5-2D83-4DF7-BEA4-0E0459E86095}" keepAlive="1" name="Query - 3" description="Connection to the '3' query in the workbook." type="5" refreshedVersion="8" background="1" saveData="1">
    <dbPr connection="Provider=Microsoft.Mashup.OleDb.1;Data Source=$Workbook$;Location=3;Extended Properties=&quot;&quot;" command="SELECT * FROM [3]"/>
  </connection>
  <connection id="4" xr16:uid="{E894A3A5-4737-4D80-ADA7-F97DFD4BB724}" keepAlive="1" name="Query - data_management" description="Connection to the 'data_management' query in the workbook." type="5" refreshedVersion="8" background="1" saveData="1">
    <dbPr connection="Provider=Microsoft.Mashup.OleDb.1;Data Source=$Workbook$;Location=data_management;Extended Properties=&quot;&quot;" command="SELECT * FROM [data_management]"/>
  </connection>
  <connection id="5" xr16:uid="{A9E070EC-0C23-4930-91C1-0912284CE6A3}" keepAlive="1" name="Query - location_section" description="Connection to the 'location_section' query in the workbook." type="5" refreshedVersion="0" background="1">
    <dbPr connection="Provider=Microsoft.Mashup.OleDb.1;Data Source=$Workbook$;Location=location_section;Extended Properties=&quot;&quot;" command="SELECT * FROM [location_section]"/>
  </connection>
  <connection id="6" xr16:uid="{BA846266-29C7-4192-93A0-88F03DCB69FE}" keepAlive="1" name="Query - materials" description="Connection to the 'materials' query in the workbook." type="5" refreshedVersion="0" background="1" saveData="1">
    <dbPr connection="Provider=Microsoft.Mashup.OleDb.1;Data Source=$Workbook$;Location=materials;Extended Properties=&quot;&quot;" command="SELECT * FROM [materials]"/>
  </connection>
  <connection id="7" xr16:uid="{15AE6AF9-D4FA-4764-92E5-E05B22610137}" keepAlive="1" name="Query - project" description="Connection to the 'project' query in the workbook." type="5" refreshedVersion="8" background="1" saveData="1">
    <dbPr connection="Provider=Microsoft.Mashup.OleDb.1;Data Source=$Workbook$;Location=project;Extended Properties=&quot;&quot;" command="SELECT * FROM [project]"/>
  </connection>
  <connection id="8" xr16:uid="{773A8F14-E60B-4086-98CC-1D79FE33A4AA}" keepAlive="1" name="Query - scope2" description="Connection to the 'scope2' query in the workbook." type="5" refreshedVersion="0" background="1" saveData="1">
    <dbPr connection="Provider=Microsoft.Mashup.OleDb.1;Data Source=$Workbook$;Location=scope2;Extended Properties=&quot;&quot;" command="SELECT * FROM [scope2]"/>
  </connection>
</connections>
</file>

<file path=xl/sharedStrings.xml><?xml version="1.0" encoding="utf-8"?>
<sst xmlns="http://schemas.openxmlformats.org/spreadsheetml/2006/main" count="562" uniqueCount="312">
  <si>
    <t>The templates were generated using the ASMR checklist version of;</t>
  </si>
  <si>
    <t>ASMR_metadata_v0.1.1-dev</t>
  </si>
  <si>
    <t>Date/Time generated;</t>
  </si>
  <si>
    <t>01/08/2026 15:21:58,54</t>
  </si>
  <si>
    <t xml:space="preserve">This template encompasses al the terms included in the ASMR metadata list for visual-based marine studies. The list is not exhaustive and can be enriched according to the necessity of the metadata provider. </t>
  </si>
  <si>
    <t>Some classes of ASMR metadata list (sheets) may not apply to the metadata record in question and their compilation can be skipped entirely (e.g. "digitalSample" if none were collected or costAnalysis if note perfomed or not reported)</t>
  </si>
  <si>
    <t>In this asmr_template, the terms listed in the "scope" sheet of asmr_schema_excel were split into "spatialScope", "taxonomicScope", "organismalScope" to ease the compilation</t>
  </si>
  <si>
    <t>Supporting external materials</t>
  </si>
  <si>
    <t>How to construct eventIDs - OBIS tutorial</t>
  </si>
  <si>
    <t>https://www.youtube.com/watch?v=Upt6LPJ0Bn8&amp;list=PLlgUwSvpCFS4TS7ZN0fhByj_3EBZ5lXbF&amp;index=1</t>
  </si>
  <si>
    <t>How to create and format the Event table for Darwin Core - OBIS tutorial</t>
  </si>
  <si>
    <t>https://www.youtube.com/watch?v=jyy6QO_p7v8&amp;list=PLlgUwSvpCFS4TS7ZN0fhByj_3EBZ5lXbF&amp;index=4</t>
  </si>
  <si>
    <t>dataLifeCycleStageAtCompilation</t>
  </si>
  <si>
    <t>version</t>
  </si>
  <si>
    <t>MetadataDate</t>
  </si>
  <si>
    <t>metadataCreator</t>
  </si>
  <si>
    <t>metadataCreatorLiteral</t>
  </si>
  <si>
    <t>metadataProvider</t>
  </si>
  <si>
    <t>metadataProviderLiteral</t>
  </si>
  <si>
    <t>metadataProviderInvolvementInDataLifeCycle</t>
  </si>
  <si>
    <t>Sampling [http://rdf-vocabulary.ddialliance.org/cv/LifecycleEventType/1.0.2/1d07814] | Data collection [http://rdf-vocabulary.ddialliance.org/cv/LifecycleEventType/1.0.2/e9b52b4]</t>
  </si>
  <si>
    <t>12/09/2026T09:00+02:00</t>
  </si>
  <si>
    <t>https://orcid.org/0000-0002-4031-8158</t>
  </si>
  <si>
    <t>Cristina Di Camillo</t>
  </si>
  <si>
    <t>Study design [http://rdf-vocabulary.ddialliance.org/cv/LifecycleEventType/1.0.2/8e4ba08] | Data collection [http://rdf-vocabulary.ddialliance.org/cv/LifecycleEventType/1.0.2/8e4ba08]</t>
  </si>
  <si>
    <t>recordedBy</t>
  </si>
  <si>
    <t>recordedByID</t>
  </si>
  <si>
    <t>projectContact</t>
  </si>
  <si>
    <t>institutionCode</t>
  </si>
  <si>
    <t>institutionID</t>
  </si>
  <si>
    <t>projectTitle</t>
  </si>
  <si>
    <t>projectID</t>
  </si>
  <si>
    <t>parentProjectID</t>
  </si>
  <si>
    <t>Cristina Di Camillo|Veronica Marchesi</t>
  </si>
  <si>
    <t>c.dicamillo@staff.univpm.it</t>
  </si>
  <si>
    <t>UNIVPM</t>
  </si>
  <si>
    <t>Charismatic Alien Invasive Marine species</t>
  </si>
  <si>
    <t>ChAIMar</t>
  </si>
  <si>
    <t>license</t>
  </si>
  <si>
    <t>rightsHolder</t>
  </si>
  <si>
    <t>accessRights</t>
  </si>
  <si>
    <t>informationWithheld</t>
  </si>
  <si>
    <t>dataGeneralizations</t>
  </si>
  <si>
    <t>bibliographicCitation</t>
  </si>
  <si>
    <t>associated_resource</t>
  </si>
  <si>
    <t>code_repo</t>
  </si>
  <si>
    <t>All rights reserved</t>
  </si>
  <si>
    <t>eventID</t>
  </si>
  <si>
    <t>parentEventID</t>
  </si>
  <si>
    <t>eventRemarks</t>
  </si>
  <si>
    <t>eventDate</t>
  </si>
  <si>
    <t>UTC</t>
  </si>
  <si>
    <t>eventDurationValue</t>
  </si>
  <si>
    <t>eventDurationUnit</t>
  </si>
  <si>
    <t>verbatimEventDate</t>
  </si>
  <si>
    <t>verbatimEventTime</t>
  </si>
  <si>
    <t>reportedWeather</t>
  </si>
  <si>
    <t>reportedExtremeConditions</t>
  </si>
  <si>
    <t>KZ_ChAIMar_2026</t>
  </si>
  <si>
    <t>KZ_ChAIMar</t>
  </si>
  <si>
    <t>2026-07</t>
  </si>
  <si>
    <t>+02:00</t>
  </si>
  <si>
    <t>P4D</t>
  </si>
  <si>
    <t>day</t>
  </si>
  <si>
    <t>KZ_ChAIMar_20260719_Zakamica_001</t>
  </si>
  <si>
    <t>2026-07-19T10:01+02:00</t>
  </si>
  <si>
    <t>PT51M</t>
  </si>
  <si>
    <t>minute</t>
  </si>
  <si>
    <t>sunny, calm waters</t>
  </si>
  <si>
    <t>KZ_ChAIMar_20260719_Teti_003</t>
  </si>
  <si>
    <t>2026-07-19T13:07+02:00</t>
  </si>
  <si>
    <t>KZ_ChAIMar_20260720_Vassilios_wall_005</t>
  </si>
  <si>
    <t>KZ_ChAIMar_20260720_Inner_Pinnacle_007</t>
  </si>
  <si>
    <t>KZ_ChAIMar_20260721_Ligthouse_Teti_009</t>
  </si>
  <si>
    <t>KZ_ChAIMar_20260722_Vassilios_011</t>
  </si>
  <si>
    <t>KZ_ChAIMar_20260722_Gnijlina_013</t>
  </si>
  <si>
    <t>locationID</t>
  </si>
  <si>
    <t>verbatimLocality</t>
  </si>
  <si>
    <t>locality</t>
  </si>
  <si>
    <t>decimalLongitude</t>
  </si>
  <si>
    <t>decimalLatitude</t>
  </si>
  <si>
    <t>verbatimLongitude</t>
  </si>
  <si>
    <t>verbatimLatitude</t>
  </si>
  <si>
    <t>verbatimCoordinateSystem</t>
  </si>
  <si>
    <t>geodeticDatum</t>
  </si>
  <si>
    <t>verbatimSRS</t>
  </si>
  <si>
    <t>footprintWKT</t>
  </si>
  <si>
    <t>verbatimSiteDescriptions</t>
  </si>
  <si>
    <t>verbatimSiteNames</t>
  </si>
  <si>
    <t>siteCount</t>
  </si>
  <si>
    <t>siteNestingDescription</t>
  </si>
  <si>
    <t>country</t>
  </si>
  <si>
    <t>countryCode</t>
  </si>
  <si>
    <t>ecoregionScheme</t>
  </si>
  <si>
    <t>ecoregionName</t>
  </si>
  <si>
    <t>ecoregionID</t>
  </si>
  <si>
    <t>geographicFeature</t>
  </si>
  <si>
    <t>marineZone</t>
  </si>
  <si>
    <t>verbatimGeomorphologicalContext</t>
  </si>
  <si>
    <t>physiographicContext</t>
  </si>
  <si>
    <t>morphologicalContext</t>
  </si>
  <si>
    <t>geomorphologicalContext</t>
  </si>
  <si>
    <t>verbatimHabitat</t>
  </si>
  <si>
    <t>habitat</t>
  </si>
  <si>
    <t>habitatClassificationScheme</t>
  </si>
  <si>
    <t>verbatimLithology</t>
  </si>
  <si>
    <t>lithology</t>
  </si>
  <si>
    <t>verbatimSubstrate</t>
  </si>
  <si>
    <t>substrate</t>
  </si>
  <si>
    <t>substrateOrigin</t>
  </si>
  <si>
    <t>substrateClassificationScheme</t>
  </si>
  <si>
    <t>verbatimConservationMeasure</t>
  </si>
  <si>
    <t>areaBasedProtectionMeasure</t>
  </si>
  <si>
    <t>areaBasedProtectionLevelValue</t>
  </si>
  <si>
    <t>areaBasedProtectionLevelScheme</t>
  </si>
  <si>
    <t>http://marineregions.org/mrgid/2160 |https://www.geonames.org/3197834/komiza.html</t>
  </si>
  <si>
    <t>Komiža</t>
  </si>
  <si>
    <t>decimal degrees</t>
  </si>
  <si>
    <t>WGS83</t>
  </si>
  <si>
    <t>Croatia</t>
  </si>
  <si>
    <t>HR</t>
  </si>
  <si>
    <t>Adriatic Sea</t>
  </si>
  <si>
    <t>http://marineregions.org/mrgid/21899</t>
  </si>
  <si>
    <t>Not applicable</t>
  </si>
  <si>
    <t>Zakamica</t>
  </si>
  <si>
    <t>WGS84</t>
  </si>
  <si>
    <t>https://biodiversity.europa.eu/habitats_eunis_revised</t>
  </si>
  <si>
    <t>Teti</t>
  </si>
  <si>
    <t>Wreck</t>
  </si>
  <si>
    <t xml:space="preserve">Wreck [https://w3id.org/CMECS/CMECS_00000920] </t>
  </si>
  <si>
    <t xml:space="preserve"> https://w3id.org/CMECS/</t>
  </si>
  <si>
    <t>Vassilios_wall</t>
  </si>
  <si>
    <t>Inner_Pinnacle</t>
  </si>
  <si>
    <t>Ligthouse_Teti</t>
  </si>
  <si>
    <t>Vassilios</t>
  </si>
  <si>
    <t>Gnijlina</t>
  </si>
  <si>
    <t>verbatimTargetScope</t>
  </si>
  <si>
    <t>geospatialScopeAreaValue</t>
  </si>
  <si>
    <t>geospatialScopeAreaUnit</t>
  </si>
  <si>
    <t>targetHabitatScope</t>
  </si>
  <si>
    <t>standardTargetHabitatScope</t>
  </si>
  <si>
    <t>excludedHabitatScope</t>
  </si>
  <si>
    <t>targetTaxonomicScope</t>
  </si>
  <si>
    <t>excludedTaxonomicScope</t>
  </si>
  <si>
    <t>taxonCompletenessProtocols</t>
  </si>
  <si>
    <t>taxonCompletenessReported</t>
  </si>
  <si>
    <t>isTaxonomicScopeFullyReported</t>
  </si>
  <si>
    <t>isAbsenceReported</t>
  </si>
  <si>
    <t>absentTaxa</t>
  </si>
  <si>
    <t>hasNonTargetTaxa</t>
  </si>
  <si>
    <t>nonTargetTaxa</t>
  </si>
  <si>
    <t>areNonTargetTaxaFullyReported</t>
  </si>
  <si>
    <t>targetLifeStageScope</t>
  </si>
  <si>
    <t>excludedLifeStageScope</t>
  </si>
  <si>
    <t>isLifeStageScopeFullyReported</t>
  </si>
  <si>
    <t>targetDegreeOfEstablishmentScope</t>
  </si>
  <si>
    <t>excludedDegreeOfEstablishmentScope</t>
  </si>
  <si>
    <t>isDegreeOfEstablishmentScopeFullyReported</t>
  </si>
  <si>
    <t>targetGrowthFormScope</t>
  </si>
  <si>
    <t>excludedGrowthFormScope</t>
  </si>
  <si>
    <t>isGrowthFormScopeFullyReported</t>
  </si>
  <si>
    <t>hasNonTargetOrganisms</t>
  </si>
  <si>
    <t>targetMobilityScope</t>
  </si>
  <si>
    <t>excludedMobilityScope</t>
  </si>
  <si>
    <t>isMobilityFullyReported</t>
  </si>
  <si>
    <t>samplingPlatform</t>
  </si>
  <si>
    <t>samplingPlatformModel</t>
  </si>
  <si>
    <t>divingGasMix</t>
  </si>
  <si>
    <t>underwaterPositioningSystem</t>
  </si>
  <si>
    <t>imageScaleReference</t>
  </si>
  <si>
    <t>verbatimImageScaleReference</t>
  </si>
  <si>
    <t>lightSystem</t>
  </si>
  <si>
    <t>cameraSystem</t>
  </si>
  <si>
    <t>batterySystem</t>
  </si>
  <si>
    <t>sensor</t>
  </si>
  <si>
    <t>verbatimSensor</t>
  </si>
  <si>
    <t>bait</t>
  </si>
  <si>
    <t>baitQuantity</t>
  </si>
  <si>
    <t>manipulatorArms</t>
  </si>
  <si>
    <t>sampleContainer</t>
  </si>
  <si>
    <t>otherFaunaAttraction</t>
  </si>
  <si>
    <t>armLengthValue</t>
  </si>
  <si>
    <t>armLengthUnit</t>
  </si>
  <si>
    <t>baitedPlatformCanisterModel</t>
  </si>
  <si>
    <t>protocolNames</t>
  </si>
  <si>
    <t>protocolDescriptions</t>
  </si>
  <si>
    <t>protocolReferences</t>
  </si>
  <si>
    <t>validationProtocolDescription</t>
  </si>
  <si>
    <t>hasMaterialSamples</t>
  </si>
  <si>
    <t>hasDigitalSamples</t>
  </si>
  <si>
    <t>sensorCalibration</t>
  </si>
  <si>
    <t>fieldOfView</t>
  </si>
  <si>
    <t>samplingPlatformNavigationSpeedValue</t>
  </si>
  <si>
    <t>samplingPlatformNavigationSpeedUnit</t>
  </si>
  <si>
    <t>cameraOrientation</t>
  </si>
  <si>
    <t>inventoryTypes</t>
  </si>
  <si>
    <t>isAbundanceReported</t>
  </si>
  <si>
    <t>isAbundanceCapReported</t>
  </si>
  <si>
    <t>abundanceCap</t>
  </si>
  <si>
    <t>isLeastSpecificTargetCategoryQuantityInclusive</t>
  </si>
  <si>
    <t>samplingPerformedBy</t>
  </si>
  <si>
    <t>isSamplingEffortReported</t>
  </si>
  <si>
    <t>samplingEffortValue</t>
  </si>
  <si>
    <t>samplingEffortUnit</t>
  </si>
  <si>
    <t>samplingEffortProtocol</t>
  </si>
  <si>
    <t>excludedSamplingEffortUnit</t>
  </si>
  <si>
    <t>excludedSamplingEffortUnitRationale</t>
  </si>
  <si>
    <t>totalAreaSampledValue</t>
  </si>
  <si>
    <t>totalAreaSampledUnit</t>
  </si>
  <si>
    <t>analyzedAreaValue</t>
  </si>
  <si>
    <t>analyzedAreaUnit</t>
  </si>
  <si>
    <t>spatialReplicates</t>
  </si>
  <si>
    <t>temporalReplicates</t>
  </si>
  <si>
    <t>surveyedTime</t>
  </si>
  <si>
    <t>analyzedTime</t>
  </si>
  <si>
    <t>transect</t>
  </si>
  <si>
    <t>Video surveys along 5 m × 1 m belt transects conducted at a standardized swimming speed</t>
  </si>
  <si>
    <t>http://qudt.org/vocab/unit/M2</t>
  </si>
  <si>
    <t>protocolSafetyRisks</t>
  </si>
  <si>
    <t>protocolSafetyMeasures</t>
  </si>
  <si>
    <t>costAnalysisDescriptions</t>
  </si>
  <si>
    <t>costAnalysisUnit</t>
  </si>
  <si>
    <t>costPerCostAnalysisUnitValue</t>
  </si>
  <si>
    <t>costAnalysisCurrency</t>
  </si>
  <si>
    <t>personnelCostPerUnit</t>
  </si>
  <si>
    <t>materialCostPerUnit</t>
  </si>
  <si>
    <t>materialSampleTypes</t>
  </si>
  <si>
    <t>hasVouchers</t>
  </si>
  <si>
    <t>voucherInstitutions</t>
  </si>
  <si>
    <t>materialSampleReplicates</t>
  </si>
  <si>
    <t>image-area-square-meters</t>
  </si>
  <si>
    <t>image-resolution</t>
  </si>
  <si>
    <t>image-overlap-fraction</t>
  </si>
  <si>
    <t>image-curation-protocol</t>
  </si>
  <si>
    <t>image-annotation-labels</t>
  </si>
  <si>
    <t>image-annotation-creators</t>
  </si>
  <si>
    <t>inSituAbioticParametersCollected</t>
  </si>
  <si>
    <t>inSituAbioticParametersAnalyzed</t>
  </si>
  <si>
    <t>exSituAbioticParametersAnalyzed</t>
  </si>
  <si>
    <t>bioEcoParameters</t>
  </si>
  <si>
    <t>EssentialClimateVariables</t>
  </si>
  <si>
    <t>EssentialBiodiversityVariables</t>
  </si>
  <si>
    <t>EssentialOceanVariables</t>
  </si>
  <si>
    <t>ecosystemServicesName</t>
  </si>
  <si>
    <t>ecosystemServicesScheme</t>
  </si>
  <si>
    <t>Expedition</t>
  </si>
  <si>
    <t>Site survey</t>
  </si>
  <si>
    <t>KZ_ChAIMar_20260719_Zakamica_001_5-10M</t>
  </si>
  <si>
    <t>Survey of charismatic, invasive and alien species in the Komiža gulf</t>
  </si>
  <si>
    <t>methodID</t>
  </si>
  <si>
    <t>open-circuit diver</t>
  </si>
  <si>
    <t>Air</t>
  </si>
  <si>
    <t>No</t>
  </si>
  <si>
    <t>MT1_KZ_ChAIMar</t>
  </si>
  <si>
    <t>MT2_KZ_ChAIMar</t>
  </si>
  <si>
    <t>Not reported</t>
  </si>
  <si>
    <t>Not available</t>
  </si>
  <si>
    <t>protocolID</t>
  </si>
  <si>
    <t>Not implemented yet</t>
  </si>
  <si>
    <t>coralligenous bioconcretions</t>
  </si>
  <si>
    <t>MEDA5.6y Circalittoral biogenic habitats in the Mediterranean - coralligenous bioconcretions [https://biodiversity.europa.eu/habitats_eunis_revised/EUNISrev_MC251]</t>
  </si>
  <si>
    <t>NA</t>
  </si>
  <si>
    <t xml:space="preserve">Transect [https://w3id.org/tern/ontologies/tern/Transect] </t>
  </si>
  <si>
    <t>Photographic census</t>
  </si>
  <si>
    <t>Visual census based on three replicate 1-minute video transects (1 m width) performed at 5-10 m 15-20 m and 30-35 m depth. Video surveys were conducted across seven sites and three depth ranges using 5 m × 1 m belt transects. Transects were surveyed at a standardized swimming speed to ensure consistent sampling effort. A total of 21 transects were completed, corresponding to a total surveyed area of 105 m^2. Occurrence of charismatic alien invasive marine species was assessed from video recordings</t>
  </si>
  <si>
    <t>Marine Ecoregions of the World (MEOW)</t>
  </si>
  <si>
    <t>KZ_ChAIMar_20260719_Zakamica_001_10-20M</t>
  </si>
  <si>
    <t>KZ_ChAIMar_20260719_Zakamica_001_20-30M</t>
  </si>
  <si>
    <t>KZ_ChAIMar_20260719_Teti_003_5-10M</t>
  </si>
  <si>
    <t>KZ_ChAIMar_20260720_Vassilios_wall_005_5-10M</t>
  </si>
  <si>
    <t>KZ_ChAIMar_20260720_Inner_Pinnacle_007_5-10M</t>
  </si>
  <si>
    <t>KZ_ChAIMar_20260721_Ligthouse_Teti_009_5-10M</t>
  </si>
  <si>
    <t>KZ_ChAIMar_20260722_Vassilios_011_5-10M</t>
  </si>
  <si>
    <t>KZ_ChAIMar_20260719_Teti_003_10-20M</t>
  </si>
  <si>
    <t>KZ_ChAIMar_20260720_Vassilios_wall_005_10-20M</t>
  </si>
  <si>
    <t>KZ_ChAIMar_20260720_Inner_Pinnacle_007_10-20M</t>
  </si>
  <si>
    <t>KZ_ChAIMar_20260721_Ligthouse_Teti_009_10-20M</t>
  </si>
  <si>
    <t>KZ_ChAIMar_20260722_Vassilios_011_10-20M</t>
  </si>
  <si>
    <t>KZ_ChAIMar_20260719_Teti_003_20-30M</t>
  </si>
  <si>
    <t>KZ_ChAIMar_20260720_Vassilios_wall_005_20-30M</t>
  </si>
  <si>
    <t>KZ_ChAIMar_20260720_Inner_Pinnacle_007_20-30M</t>
  </si>
  <si>
    <t>KZ_ChAIMar_20260721_Ligthouse_Teti_009_20-30M</t>
  </si>
  <si>
    <t>KZ_ChAIMar_20260722_Vassilios_011_20-30M</t>
  </si>
  <si>
    <t>KZ_ChAIMar_20260722_Gnijlina_013_20-30M</t>
  </si>
  <si>
    <t>KZ_ChAIMar_20260722_Gnijlina_013_5-10M</t>
  </si>
  <si>
    <t>KZ_ChAIMar_20260722_Gnijlina_013_10-20M</t>
  </si>
  <si>
    <t>object of known size in frame</t>
  </si>
  <si>
    <t>none</t>
  </si>
  <si>
    <t>meter</t>
  </si>
  <si>
    <t>NA?</t>
  </si>
  <si>
    <t>2 lights xxxx</t>
  </si>
  <si>
    <t>3 lights xxxx</t>
  </si>
  <si>
    <t>Olympus Tough TG-6 with Weefine underwater housing</t>
  </si>
  <si>
    <t>GoPro HERO11 Black</t>
  </si>
  <si>
    <t>1 m</t>
  </si>
  <si>
    <t>opportunisticSearch|restrictedSearch</t>
  </si>
  <si>
    <t>restrictedSearch</t>
  </si>
  <si>
    <t>OrientedRespectTo</t>
  </si>
  <si>
    <t>target species</t>
  </si>
  <si>
    <t>Census conducted both inside and outside the transects MT1_KZ_ChAIMar. Organism size was estimated from underwater photographs acquired with a calliper placed next to the specimen and measured through digital image processing</t>
  </si>
  <si>
    <t>non avendo fatto dei photoquadrats standardizzati non li includerei nel computo dell'area campionata</t>
  </si>
  <si>
    <t>si tratta di foto casuali degli organismi target</t>
  </si>
  <si>
    <t>PT50M</t>
  </si>
  <si>
    <t>PT53M</t>
  </si>
  <si>
    <t>PT55M</t>
  </si>
  <si>
    <t>somma dei survey? 361 minuti?</t>
  </si>
  <si>
    <t>per ogni profondità ci sono 3 repliche. aggiungo?</t>
  </si>
  <si>
    <t>è lo stesso perchè c'era anche il VC</t>
  </si>
  <si>
    <t>Palinurus elephas|Hermodice carunculata|Centrostephanus tenuispinus | Charonia triton|Muraena helena|Sparisoma cretense|Ephinephelus marginatus|Pterois miles|Dactylopteris volitans|Scorpaena scrofa</t>
  </si>
  <si>
    <t>https://ror.org/00x69rs40</t>
  </si>
  <si>
    <t>Cristina Di Camillo| Veronica Marchesi</t>
  </si>
  <si>
    <t>Università Politecnica delle Marche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</si>
</sst>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color theme="3" tint="0.249977111117893"/>
      <name val="Aptos Narrow"/>
      <family val="2"/>
      <scheme val="minor"/>
    </font>
    <font>
      <b/>
      <sz val="11"/>
      <color rgb="FF0000FF"/>
      <name val="Aptos Narrow"/>
      <family val="2"/>
      <scheme val="minor"/>
    </font>
    <font>
      <sz val="11"/>
      <color rgb="FF0000FF"/>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14" fontId="0" fillId="0" borderId="0" xfId="0" applyNumberFormat="1"/>
    <xf numFmtId="0" fontId="0" fillId="0" borderId="0" xfId="0" applyAlignment="1">
      <alignment wrapText="1"/>
    </xf>
    <xf numFmtId="0" fontId="1" fillId="0" borderId="0" xfId="0" applyFont="1"/>
    <xf numFmtId="0" fontId="1" fillId="0" borderId="0" xfId="0" applyFont="1" applyAlignment="1">
      <alignment wrapText="1"/>
    </xf>
    <xf numFmtId="14" fontId="1" fillId="0" borderId="0" xfId="0" applyNumberFormat="1" applyFont="1"/>
    <xf numFmtId="0" fontId="2" fillId="0" borderId="0" xfId="1"/>
    <xf numFmtId="164" fontId="1" fillId="0" borderId="0" xfId="0" applyNumberFormat="1" applyFont="1"/>
    <xf numFmtId="164" fontId="0" fillId="0" borderId="0" xfId="0" applyNumberFormat="1"/>
    <xf numFmtId="0" fontId="1" fillId="0" borderId="0" xfId="0" applyFont="1" applyAlignment="1">
      <alignment horizontal="left" vertical="center"/>
    </xf>
    <xf numFmtId="0" fontId="0" fillId="0" borderId="0" xfId="0" applyAlignment="1">
      <alignment horizontal="left" vertical="center"/>
    </xf>
    <xf numFmtId="0" fontId="2" fillId="0" borderId="0" xfId="1" applyAlignment="1">
      <alignment horizontal="left" vertical="center"/>
    </xf>
    <xf numFmtId="14" fontId="0" fillId="0" borderId="0" xfId="0" applyNumberFormat="1" applyAlignment="1">
      <alignment horizontal="left" vertical="center"/>
    </xf>
    <xf numFmtId="20" fontId="0" fillId="0" borderId="0" xfId="0" applyNumberFormat="1"/>
    <xf numFmtId="0" fontId="0" fillId="0" borderId="0" xfId="0" applyAlignment="1">
      <alignment vertical="center" wrapText="1"/>
    </xf>
    <xf numFmtId="46" fontId="0" fillId="0" borderId="0" xfId="0" applyNumberFormat="1"/>
    <xf numFmtId="164" fontId="4" fillId="0" borderId="0" xfId="0" applyNumberFormat="1" applyFont="1"/>
    <xf numFmtId="164" fontId="5" fillId="0" borderId="0" xfId="0" applyNumberFormat="1" applyFont="1"/>
    <xf numFmtId="49" fontId="6" fillId="0" borderId="0" xfId="0" quotePrefix="1" applyNumberFormat="1" applyFont="1"/>
    <xf numFmtId="0" fontId="6" fillId="0" borderId="0" xfId="0" applyFont="1"/>
    <xf numFmtId="0" fontId="5" fillId="0" borderId="0" xfId="0" applyFont="1"/>
    <xf numFmtId="0" fontId="0" fillId="2" borderId="0" xfId="0" applyFill="1"/>
    <xf numFmtId="0" fontId="6" fillId="2" borderId="0" xfId="0" applyFont="1" applyFill="1"/>
    <xf numFmtId="0" fontId="7" fillId="0" borderId="0" xfId="0" applyFont="1"/>
    <xf numFmtId="46" fontId="6" fillId="0" borderId="0" xfId="0" applyNumberFormat="1" applyFont="1"/>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youtube.com/watch?v=jyy6QO_p7v8&amp;list=PLlgUwSvpCFS4TS7ZN0fhByj_3EBZ5lXbF&amp;index=4" TargetMode="External"/><Relationship Id="rId1" Type="http://schemas.openxmlformats.org/officeDocument/2006/relationships/hyperlink" Target="https://www.youtube.com/watch?v=Upt6LPJ0Bn8&amp;list=PLlgUwSvpCFS4TS7ZN0fhByj_3EBZ5lXbF&amp;index=1"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orcid.org/0000-0002-4031-8158" TargetMode="External"/><Relationship Id="rId1" Type="http://schemas.openxmlformats.org/officeDocument/2006/relationships/hyperlink" Target="https://orcid.org/0000-0002-4031-8158"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c.dicamillo@staff.univpm.it" TargetMode="External"/><Relationship Id="rId1" Type="http://schemas.openxmlformats.org/officeDocument/2006/relationships/hyperlink" Target="https://orcid.org/0000-0002-4031-8158"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marineregions.org/mrgid/2160%20|https:/www.geonames.org/3197834/komiza.html" TargetMode="External"/><Relationship Id="rId1" Type="http://schemas.openxmlformats.org/officeDocument/2006/relationships/hyperlink" Target="http://marineregions.org/mrgid/21899"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qudt.org/vocab/unit/M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8E403-26C4-4610-8B92-728F70E08A8F}">
  <dimension ref="A1:B14"/>
  <sheetViews>
    <sheetView workbookViewId="0">
      <selection activeCell="A28" sqref="A28"/>
    </sheetView>
  </sheetViews>
  <sheetFormatPr defaultRowHeight="14.4" x14ac:dyDescent="0.3"/>
  <cols>
    <col min="1" max="1" width="63.44140625" customWidth="1"/>
  </cols>
  <sheetData>
    <row r="1" spans="1:2" x14ac:dyDescent="0.3">
      <c r="A1" t="s">
        <v>0</v>
      </c>
    </row>
    <row r="2" spans="1:2" x14ac:dyDescent="0.3">
      <c r="A2" t="s">
        <v>1</v>
      </c>
    </row>
    <row r="4" spans="1:2" x14ac:dyDescent="0.3">
      <c r="A4" t="s">
        <v>2</v>
      </c>
    </row>
    <row r="5" spans="1:2" x14ac:dyDescent="0.3">
      <c r="A5" t="s">
        <v>3</v>
      </c>
    </row>
    <row r="7" spans="1:2" x14ac:dyDescent="0.3">
      <c r="A7" t="s">
        <v>4</v>
      </c>
    </row>
    <row r="8" spans="1:2" x14ac:dyDescent="0.3">
      <c r="A8" t="s">
        <v>5</v>
      </c>
    </row>
    <row r="10" spans="1:2" x14ac:dyDescent="0.3">
      <c r="A10" t="s">
        <v>6</v>
      </c>
    </row>
    <row r="12" spans="1:2" x14ac:dyDescent="0.3">
      <c r="A12" s="3" t="s">
        <v>7</v>
      </c>
    </row>
    <row r="13" spans="1:2" x14ac:dyDescent="0.3">
      <c r="A13" t="s">
        <v>8</v>
      </c>
      <c r="B13" s="6" t="s">
        <v>9</v>
      </c>
    </row>
    <row r="14" spans="1:2" x14ac:dyDescent="0.3">
      <c r="A14" t="s">
        <v>10</v>
      </c>
      <c r="B14" s="6" t="s">
        <v>11</v>
      </c>
    </row>
  </sheetData>
  <hyperlinks>
    <hyperlink ref="B13" r:id="rId1" xr:uid="{B26BB0D2-C5B3-49F9-9138-AF7155230C68}"/>
    <hyperlink ref="B14" r:id="rId2" xr:uid="{73FC8925-A8E9-4B80-8B6B-221738D89B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4583-A080-403A-B4C6-D8FB2C75224F}">
  <dimension ref="A1:H2"/>
  <sheetViews>
    <sheetView workbookViewId="0">
      <selection activeCell="D3" sqref="D3"/>
    </sheetView>
  </sheetViews>
  <sheetFormatPr defaultRowHeight="14.4" x14ac:dyDescent="0.3"/>
  <cols>
    <col min="1" max="1" width="31.33203125" bestFit="1" customWidth="1"/>
    <col min="2" max="2" width="10" bestFit="1" customWidth="1"/>
    <col min="3" max="3" width="13.33203125" style="8" bestFit="1" customWidth="1"/>
    <col min="4" max="4" width="16" bestFit="1" customWidth="1"/>
    <col min="5" max="5" width="21.6640625" bestFit="1" customWidth="1"/>
    <col min="6" max="6" width="16.6640625" bestFit="1" customWidth="1"/>
    <col min="7" max="7" width="22.44140625" bestFit="1" customWidth="1"/>
    <col min="8" max="8" width="42.6640625" bestFit="1" customWidth="1"/>
  </cols>
  <sheetData>
    <row r="1" spans="1:8" s="3" customFormat="1" x14ac:dyDescent="0.3">
      <c r="A1" s="3" t="s">
        <v>12</v>
      </c>
      <c r="B1" s="3" t="s">
        <v>13</v>
      </c>
      <c r="C1" s="7" t="s">
        <v>14</v>
      </c>
      <c r="D1" s="3" t="s">
        <v>15</v>
      </c>
      <c r="E1" s="3" t="s">
        <v>16</v>
      </c>
      <c r="F1" s="3" t="s">
        <v>17</v>
      </c>
      <c r="G1" s="3" t="s">
        <v>18</v>
      </c>
      <c r="H1" s="3" t="s">
        <v>19</v>
      </c>
    </row>
    <row r="2" spans="1:8" x14ac:dyDescent="0.3">
      <c r="A2" t="s">
        <v>20</v>
      </c>
      <c r="B2">
        <v>1</v>
      </c>
      <c r="C2" s="8" t="s">
        <v>21</v>
      </c>
      <c r="D2" s="6" t="s">
        <v>22</v>
      </c>
      <c r="E2" t="s">
        <v>23</v>
      </c>
      <c r="F2" s="6" t="s">
        <v>22</v>
      </c>
      <c r="G2" t="s">
        <v>23</v>
      </c>
      <c r="H2" t="s">
        <v>24</v>
      </c>
    </row>
  </sheetData>
  <hyperlinks>
    <hyperlink ref="D2" r:id="rId1" xr:uid="{FB21FFFA-3179-4640-BBC8-92C3724BD013}"/>
    <hyperlink ref="F2" r:id="rId2" xr:uid="{0584474F-74CF-4526-A369-5F6746784B6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A55F-209D-403D-BEE4-3BE65FE8E43A}">
  <dimension ref="A1:S9"/>
  <sheetViews>
    <sheetView workbookViewId="0">
      <selection activeCell="C9" sqref="C9"/>
    </sheetView>
  </sheetViews>
  <sheetFormatPr defaultColWidth="9" defaultRowHeight="14.4" x14ac:dyDescent="0.3"/>
  <cols>
    <col min="1" max="4" width="20.109375" style="10" customWidth="1"/>
    <col min="5" max="5" width="31.6640625" style="10" customWidth="1"/>
    <col min="6" max="8" width="20.109375" style="10" customWidth="1"/>
    <col min="9" max="9" width="67.6640625" style="10" bestFit="1" customWidth="1"/>
    <col min="10" max="10" width="7.6640625" style="10" bestFit="1" customWidth="1"/>
    <col min="11" max="11" width="10.33203125" style="10" bestFit="1" customWidth="1"/>
    <col min="12" max="12" width="15.5546875" style="10" bestFit="1" customWidth="1"/>
    <col min="13" max="13" width="37.88671875" style="10" bestFit="1" customWidth="1"/>
    <col min="14" max="14" width="16.6640625" style="10" bestFit="1" customWidth="1"/>
    <col min="15" max="15" width="18.33203125" style="10" bestFit="1" customWidth="1"/>
    <col min="16" max="16" width="18" style="10" bestFit="1" customWidth="1"/>
    <col min="17" max="17" width="17.33203125" style="10" bestFit="1" customWidth="1"/>
    <col min="18" max="18" width="12.44140625" style="10" bestFit="1" customWidth="1"/>
    <col min="19" max="19" width="17.88671875" style="10" bestFit="1" customWidth="1"/>
    <col min="20" max="16384" width="9" style="10"/>
  </cols>
  <sheetData>
    <row r="1" spans="1:19" s="9" customFormat="1" x14ac:dyDescent="0.3">
      <c r="A1" s="9" t="s">
        <v>25</v>
      </c>
      <c r="B1" s="9" t="s">
        <v>26</v>
      </c>
      <c r="C1" s="9" t="s">
        <v>27</v>
      </c>
      <c r="D1" s="9" t="s">
        <v>28</v>
      </c>
      <c r="E1" s="9" t="s">
        <v>29</v>
      </c>
      <c r="F1" s="9" t="s">
        <v>30</v>
      </c>
      <c r="G1" s="9" t="s">
        <v>31</v>
      </c>
      <c r="H1" s="9" t="s">
        <v>32</v>
      </c>
    </row>
    <row r="2" spans="1:19" x14ac:dyDescent="0.3">
      <c r="A2" s="10" t="s">
        <v>310</v>
      </c>
      <c r="B2" s="11" t="s">
        <v>22</v>
      </c>
      <c r="C2" s="11" t="s">
        <v>34</v>
      </c>
      <c r="D2" s="2" t="s">
        <v>35</v>
      </c>
      <c r="E2" s="2" t="s">
        <v>309</v>
      </c>
      <c r="F2" s="10" t="s">
        <v>36</v>
      </c>
      <c r="G2" s="10" t="s">
        <v>37</v>
      </c>
      <c r="R2" s="12"/>
      <c r="S2" s="12"/>
    </row>
    <row r="3" spans="1:19" x14ac:dyDescent="0.3">
      <c r="R3" s="12"/>
      <c r="S3" s="12"/>
    </row>
    <row r="4" spans="1:19" x14ac:dyDescent="0.3">
      <c r="R4" s="12"/>
      <c r="S4" s="12"/>
    </row>
    <row r="5" spans="1:19" x14ac:dyDescent="0.3">
      <c r="R5" s="12"/>
      <c r="S5" s="12"/>
    </row>
    <row r="6" spans="1:19" x14ac:dyDescent="0.3">
      <c r="R6" s="12"/>
      <c r="S6" s="12"/>
    </row>
    <row r="7" spans="1:19" x14ac:dyDescent="0.3">
      <c r="R7" s="12"/>
      <c r="S7" s="12"/>
    </row>
    <row r="8" spans="1:19" x14ac:dyDescent="0.3">
      <c r="R8" s="12"/>
      <c r="S8" s="12"/>
    </row>
    <row r="9" spans="1:19" x14ac:dyDescent="0.3">
      <c r="R9" s="12"/>
      <c r="S9" s="12"/>
    </row>
  </sheetData>
  <hyperlinks>
    <hyperlink ref="B2" r:id="rId1" xr:uid="{9263460B-E0E3-4CF2-AEC8-B42C6C49758C}"/>
    <hyperlink ref="C2" r:id="rId2" xr:uid="{BB151954-5052-44E7-A19B-B7E8E3D74D1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7F5E-8884-4A68-B59F-CCF84906ABBA}">
  <dimension ref="A1:S9"/>
  <sheetViews>
    <sheetView tabSelected="1" workbookViewId="0">
      <selection activeCell="B2" sqref="B2"/>
    </sheetView>
  </sheetViews>
  <sheetFormatPr defaultRowHeight="14.4" x14ac:dyDescent="0.3"/>
  <cols>
    <col min="1" max="1" width="12.5546875" customWidth="1"/>
    <col min="2" max="2" width="28.109375" customWidth="1"/>
    <col min="3" max="3" width="12.44140625" style="2" bestFit="1" customWidth="1"/>
    <col min="4" max="4" width="19.5546875" style="2" bestFit="1" customWidth="1"/>
    <col min="5" max="5" width="18.6640625" bestFit="1" customWidth="1"/>
    <col min="6" max="6" width="19.6640625" bestFit="1" customWidth="1"/>
    <col min="7" max="7" width="19.33203125" bestFit="1" customWidth="1"/>
    <col min="8" max="8" width="10.109375" bestFit="1" customWidth="1"/>
    <col min="9" max="9" width="73.5546875" bestFit="1" customWidth="1"/>
    <col min="11" max="11" width="10.33203125" bestFit="1" customWidth="1"/>
    <col min="12" max="12" width="15.5546875" bestFit="1" customWidth="1"/>
    <col min="13" max="13" width="42.33203125" bestFit="1" customWidth="1"/>
    <col min="14" max="14" width="16.6640625" bestFit="1" customWidth="1"/>
    <col min="15" max="15" width="18.33203125" bestFit="1" customWidth="1"/>
    <col min="16" max="16" width="18" bestFit="1" customWidth="1"/>
    <col min="17" max="17" width="17.33203125" bestFit="1" customWidth="1"/>
    <col min="18" max="18" width="12.44140625" bestFit="1" customWidth="1"/>
    <col min="19" max="19" width="17" bestFit="1" customWidth="1"/>
  </cols>
  <sheetData>
    <row r="1" spans="1:19" s="3" customFormat="1" x14ac:dyDescent="0.3">
      <c r="A1" s="3" t="s">
        <v>38</v>
      </c>
      <c r="B1" s="3" t="s">
        <v>39</v>
      </c>
      <c r="C1" s="4" t="s">
        <v>40</v>
      </c>
      <c r="D1" s="4" t="s">
        <v>41</v>
      </c>
      <c r="E1" s="3" t="s">
        <v>42</v>
      </c>
      <c r="F1" s="3" t="s">
        <v>43</v>
      </c>
      <c r="G1" s="3" t="s">
        <v>44</v>
      </c>
      <c r="H1" s="3" t="s">
        <v>45</v>
      </c>
      <c r="R1" s="5"/>
      <c r="S1" s="5"/>
    </row>
    <row r="2" spans="1:19" x14ac:dyDescent="0.3">
      <c r="A2" t="s">
        <v>46</v>
      </c>
      <c r="B2" t="s">
        <v>311</v>
      </c>
      <c r="R2" s="1"/>
      <c r="S2" s="1"/>
    </row>
    <row r="3" spans="1:19" x14ac:dyDescent="0.3">
      <c r="R3" s="1"/>
      <c r="S3" s="1"/>
    </row>
    <row r="4" spans="1:19" x14ac:dyDescent="0.3">
      <c r="R4" s="1"/>
      <c r="S4" s="1"/>
    </row>
    <row r="5" spans="1:19" x14ac:dyDescent="0.3">
      <c r="R5" s="1"/>
      <c r="S5" s="1"/>
    </row>
    <row r="6" spans="1:19" x14ac:dyDescent="0.3">
      <c r="R6" s="1"/>
      <c r="S6" s="1"/>
    </row>
    <row r="7" spans="1:19" x14ac:dyDescent="0.3">
      <c r="R7" s="1"/>
      <c r="S7" s="1"/>
    </row>
    <row r="8" spans="1:19" x14ac:dyDescent="0.3">
      <c r="R8" s="1"/>
      <c r="S8" s="1"/>
    </row>
    <row r="9" spans="1:19" x14ac:dyDescent="0.3">
      <c r="R9" s="1"/>
      <c r="S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C85F-3A32-47EA-B2E0-CFC389B02588}">
  <dimension ref="A1:L30"/>
  <sheetViews>
    <sheetView workbookViewId="0">
      <selection activeCell="C16" sqref="C16"/>
    </sheetView>
  </sheetViews>
  <sheetFormatPr defaultRowHeight="14.4" x14ac:dyDescent="0.3"/>
  <cols>
    <col min="1" max="1" width="40.33203125" customWidth="1"/>
    <col min="2" max="2" width="34.5546875" customWidth="1"/>
    <col min="3" max="3" width="13.6640625" bestFit="1" customWidth="1"/>
    <col min="4" max="4" width="31.5546875" style="8" customWidth="1"/>
    <col min="5" max="5" width="29.6640625" style="16" customWidth="1"/>
    <col min="6" max="6" width="21" style="16" customWidth="1"/>
    <col min="7" max="7" width="18.6640625" bestFit="1" customWidth="1"/>
    <col min="8" max="8" width="17.44140625" bestFit="1" customWidth="1"/>
    <col min="9" max="10" width="18.33203125" bestFit="1" customWidth="1"/>
    <col min="11" max="11" width="16.33203125" bestFit="1" customWidth="1"/>
    <col min="12" max="12" width="26.33203125" bestFit="1" customWidth="1"/>
  </cols>
  <sheetData>
    <row r="1" spans="1:12" s="3" customFormat="1" x14ac:dyDescent="0.3">
      <c r="A1" s="3" t="s">
        <v>47</v>
      </c>
      <c r="B1" s="3" t="s">
        <v>48</v>
      </c>
      <c r="C1" s="3" t="s">
        <v>49</v>
      </c>
      <c r="D1" s="7" t="s">
        <v>50</v>
      </c>
      <c r="E1" s="17" t="s">
        <v>50</v>
      </c>
      <c r="F1" s="17" t="s">
        <v>51</v>
      </c>
      <c r="G1" s="3" t="s">
        <v>52</v>
      </c>
      <c r="H1" s="3" t="s">
        <v>53</v>
      </c>
      <c r="I1" s="3" t="s">
        <v>54</v>
      </c>
      <c r="J1" s="3" t="s">
        <v>55</v>
      </c>
      <c r="K1" s="3" t="s">
        <v>56</v>
      </c>
      <c r="L1" s="3" t="s">
        <v>57</v>
      </c>
    </row>
    <row r="2" spans="1:12" x14ac:dyDescent="0.3">
      <c r="A2" t="s">
        <v>59</v>
      </c>
      <c r="C2" t="s">
        <v>245</v>
      </c>
      <c r="D2" s="8" t="s">
        <v>60</v>
      </c>
      <c r="E2" s="19"/>
      <c r="F2" s="18" t="s">
        <v>61</v>
      </c>
      <c r="G2" t="s">
        <v>62</v>
      </c>
      <c r="H2" t="s">
        <v>63</v>
      </c>
      <c r="I2" s="8" t="s">
        <v>60</v>
      </c>
      <c r="J2" s="13"/>
    </row>
    <row r="3" spans="1:12" x14ac:dyDescent="0.3">
      <c r="A3" t="s">
        <v>64</v>
      </c>
      <c r="B3" t="s">
        <v>59</v>
      </c>
      <c r="C3" t="s">
        <v>246</v>
      </c>
      <c r="D3" s="8" t="s">
        <v>65</v>
      </c>
      <c r="E3" s="19" t="str">
        <f>TEXT(I3,"yyyy-mm-dd")&amp;"T"&amp;TEXT(J3,"hh:mm")&amp;(F3)</f>
        <v>yyyy-07-ddT10:01+02:00</v>
      </c>
      <c r="F3" s="18" t="s">
        <v>61</v>
      </c>
      <c r="G3" s="15" t="s">
        <v>66</v>
      </c>
      <c r="H3" t="s">
        <v>67</v>
      </c>
      <c r="I3" s="8">
        <v>46222</v>
      </c>
      <c r="J3" s="13">
        <v>0.41736111111111113</v>
      </c>
      <c r="K3" t="s">
        <v>68</v>
      </c>
    </row>
    <row r="4" spans="1:12" x14ac:dyDescent="0.3">
      <c r="A4" t="s">
        <v>69</v>
      </c>
      <c r="B4" t="s">
        <v>59</v>
      </c>
      <c r="C4" t="s">
        <v>246</v>
      </c>
      <c r="D4" s="8" t="s">
        <v>70</v>
      </c>
      <c r="E4" s="19" t="str">
        <f t="shared" ref="E4:E9" si="0">TEXT(I4,"yyyy-mm-dd")&amp;"T"&amp;TEXT(J4,"hh:mm")&amp;(F4)</f>
        <v>yyyy-07-ddT13:07+02:00</v>
      </c>
      <c r="F4" s="18" t="s">
        <v>61</v>
      </c>
      <c r="G4" s="15" t="s">
        <v>302</v>
      </c>
      <c r="H4" t="s">
        <v>67</v>
      </c>
      <c r="I4" s="8">
        <v>46222</v>
      </c>
      <c r="J4" s="13">
        <v>0.54652777777777772</v>
      </c>
      <c r="K4" t="s">
        <v>68</v>
      </c>
    </row>
    <row r="5" spans="1:12" x14ac:dyDescent="0.3">
      <c r="A5" t="s">
        <v>71</v>
      </c>
      <c r="B5" t="s">
        <v>59</v>
      </c>
      <c r="C5" t="s">
        <v>246</v>
      </c>
      <c r="D5" s="8" t="s">
        <v>65</v>
      </c>
      <c r="E5" s="19" t="str">
        <f t="shared" si="0"/>
        <v>yyyy-07-ddT09:34+02:00</v>
      </c>
      <c r="F5" s="18" t="s">
        <v>61</v>
      </c>
      <c r="G5" s="15" t="s">
        <v>303</v>
      </c>
      <c r="H5" t="s">
        <v>67</v>
      </c>
      <c r="I5" s="8">
        <v>46223</v>
      </c>
      <c r="J5" s="13">
        <v>0.39861111111111114</v>
      </c>
      <c r="K5" t="s">
        <v>68</v>
      </c>
    </row>
    <row r="6" spans="1:12" x14ac:dyDescent="0.3">
      <c r="A6" t="s">
        <v>72</v>
      </c>
      <c r="B6" t="s">
        <v>59</v>
      </c>
      <c r="C6" t="s">
        <v>246</v>
      </c>
      <c r="D6" s="8" t="s">
        <v>65</v>
      </c>
      <c r="E6" s="19" t="str">
        <f t="shared" si="0"/>
        <v>yyyy-07-ddT13:11+02:00</v>
      </c>
      <c r="F6" s="18" t="s">
        <v>61</v>
      </c>
      <c r="G6" s="15" t="s">
        <v>302</v>
      </c>
      <c r="H6" t="s">
        <v>67</v>
      </c>
      <c r="I6" s="8">
        <v>46223</v>
      </c>
      <c r="J6" s="13">
        <v>0.5493055555555556</v>
      </c>
      <c r="K6" t="s">
        <v>68</v>
      </c>
    </row>
    <row r="7" spans="1:12" x14ac:dyDescent="0.3">
      <c r="A7" t="s">
        <v>73</v>
      </c>
      <c r="B7" t="s">
        <v>59</v>
      </c>
      <c r="C7" t="s">
        <v>246</v>
      </c>
      <c r="D7" s="8" t="s">
        <v>65</v>
      </c>
      <c r="E7" s="19" t="str">
        <f t="shared" si="0"/>
        <v>yyyy-07-ddT08:28+02:00</v>
      </c>
      <c r="F7" s="18" t="s">
        <v>61</v>
      </c>
      <c r="G7" s="15" t="s">
        <v>66</v>
      </c>
      <c r="H7" t="s">
        <v>67</v>
      </c>
      <c r="I7" s="8">
        <v>46224</v>
      </c>
      <c r="J7" s="13">
        <v>0.3527777777777778</v>
      </c>
      <c r="K7" t="s">
        <v>68</v>
      </c>
    </row>
    <row r="8" spans="1:12" x14ac:dyDescent="0.3">
      <c r="A8" t="s">
        <v>74</v>
      </c>
      <c r="B8" t="s">
        <v>59</v>
      </c>
      <c r="C8" t="s">
        <v>246</v>
      </c>
      <c r="D8" s="8" t="s">
        <v>65</v>
      </c>
      <c r="E8" s="19" t="str">
        <f t="shared" si="0"/>
        <v>yyyy-07-ddT09:43+02:00</v>
      </c>
      <c r="F8" s="18" t="s">
        <v>61</v>
      </c>
      <c r="G8" s="15" t="s">
        <v>66</v>
      </c>
      <c r="H8" t="s">
        <v>67</v>
      </c>
      <c r="I8" s="8">
        <v>46225</v>
      </c>
      <c r="J8" s="13">
        <v>0.40486111111111112</v>
      </c>
      <c r="K8" t="s">
        <v>68</v>
      </c>
    </row>
    <row r="9" spans="1:12" x14ac:dyDescent="0.3">
      <c r="A9" t="s">
        <v>75</v>
      </c>
      <c r="B9" t="s">
        <v>59</v>
      </c>
      <c r="C9" t="s">
        <v>246</v>
      </c>
      <c r="D9" s="8" t="s">
        <v>65</v>
      </c>
      <c r="E9" s="19" t="str">
        <f t="shared" si="0"/>
        <v>yyyy-07-ddT12:40+02:00</v>
      </c>
      <c r="F9" s="18" t="s">
        <v>61</v>
      </c>
      <c r="G9" s="15" t="s">
        <v>304</v>
      </c>
      <c r="H9" t="s">
        <v>67</v>
      </c>
      <c r="I9" s="8">
        <v>46225</v>
      </c>
      <c r="J9" s="13">
        <v>0.52777777777777779</v>
      </c>
      <c r="K9" t="s">
        <v>68</v>
      </c>
    </row>
    <row r="10" spans="1:12" x14ac:dyDescent="0.3">
      <c r="A10" t="s">
        <v>247</v>
      </c>
      <c r="B10" t="s">
        <v>64</v>
      </c>
    </row>
    <row r="11" spans="1:12" x14ac:dyDescent="0.3">
      <c r="A11" t="s">
        <v>266</v>
      </c>
      <c r="B11" t="s">
        <v>64</v>
      </c>
      <c r="C11" s="19" t="s">
        <v>306</v>
      </c>
      <c r="E11" s="19"/>
    </row>
    <row r="12" spans="1:12" x14ac:dyDescent="0.3">
      <c r="A12" t="s">
        <v>267</v>
      </c>
      <c r="B12" t="s">
        <v>64</v>
      </c>
    </row>
    <row r="13" spans="1:12" x14ac:dyDescent="0.3">
      <c r="A13" t="s">
        <v>268</v>
      </c>
      <c r="B13" t="s">
        <v>69</v>
      </c>
    </row>
    <row r="14" spans="1:12" x14ac:dyDescent="0.3">
      <c r="A14" t="s">
        <v>273</v>
      </c>
      <c r="B14" t="s">
        <v>69</v>
      </c>
    </row>
    <row r="15" spans="1:12" x14ac:dyDescent="0.3">
      <c r="A15" t="s">
        <v>278</v>
      </c>
      <c r="B15" t="s">
        <v>69</v>
      </c>
    </row>
    <row r="16" spans="1:12" x14ac:dyDescent="0.3">
      <c r="A16" t="s">
        <v>269</v>
      </c>
      <c r="B16" t="s">
        <v>71</v>
      </c>
    </row>
    <row r="17" spans="1:2" x14ac:dyDescent="0.3">
      <c r="A17" t="s">
        <v>274</v>
      </c>
      <c r="B17" t="s">
        <v>71</v>
      </c>
    </row>
    <row r="18" spans="1:2" x14ac:dyDescent="0.3">
      <c r="A18" t="s">
        <v>279</v>
      </c>
      <c r="B18" t="s">
        <v>71</v>
      </c>
    </row>
    <row r="19" spans="1:2" x14ac:dyDescent="0.3">
      <c r="A19" t="s">
        <v>270</v>
      </c>
      <c r="B19" t="s">
        <v>72</v>
      </c>
    </row>
    <row r="20" spans="1:2" x14ac:dyDescent="0.3">
      <c r="A20" t="s">
        <v>275</v>
      </c>
      <c r="B20" t="s">
        <v>72</v>
      </c>
    </row>
    <row r="21" spans="1:2" x14ac:dyDescent="0.3">
      <c r="A21" t="s">
        <v>280</v>
      </c>
      <c r="B21" t="s">
        <v>72</v>
      </c>
    </row>
    <row r="22" spans="1:2" x14ac:dyDescent="0.3">
      <c r="A22" t="s">
        <v>271</v>
      </c>
      <c r="B22" t="s">
        <v>73</v>
      </c>
    </row>
    <row r="23" spans="1:2" x14ac:dyDescent="0.3">
      <c r="A23" t="s">
        <v>276</v>
      </c>
      <c r="B23" t="s">
        <v>73</v>
      </c>
    </row>
    <row r="24" spans="1:2" x14ac:dyDescent="0.3">
      <c r="A24" t="s">
        <v>281</v>
      </c>
      <c r="B24" t="s">
        <v>73</v>
      </c>
    </row>
    <row r="25" spans="1:2" x14ac:dyDescent="0.3">
      <c r="A25" t="s">
        <v>272</v>
      </c>
      <c r="B25" t="s">
        <v>74</v>
      </c>
    </row>
    <row r="26" spans="1:2" x14ac:dyDescent="0.3">
      <c r="A26" t="s">
        <v>277</v>
      </c>
      <c r="B26" t="s">
        <v>74</v>
      </c>
    </row>
    <row r="27" spans="1:2" x14ac:dyDescent="0.3">
      <c r="A27" t="s">
        <v>282</v>
      </c>
      <c r="B27" t="s">
        <v>74</v>
      </c>
    </row>
    <row r="28" spans="1:2" x14ac:dyDescent="0.3">
      <c r="A28" t="s">
        <v>284</v>
      </c>
      <c r="B28" t="s">
        <v>75</v>
      </c>
    </row>
    <row r="29" spans="1:2" x14ac:dyDescent="0.3">
      <c r="A29" t="s">
        <v>285</v>
      </c>
      <c r="B29" t="s">
        <v>75</v>
      </c>
    </row>
    <row r="30" spans="1:2" x14ac:dyDescent="0.3">
      <c r="A30" t="s">
        <v>283</v>
      </c>
      <c r="B30" t="s">
        <v>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4C943-4A7B-47CD-9E4E-7CCFC8CDBB13}">
  <dimension ref="A1:AO22"/>
  <sheetViews>
    <sheetView topLeftCell="M1" workbookViewId="0">
      <selection activeCell="T2" sqref="T2"/>
    </sheetView>
  </sheetViews>
  <sheetFormatPr defaultRowHeight="14.4" x14ac:dyDescent="0.3"/>
  <cols>
    <col min="1" max="1" width="24.6640625" customWidth="1"/>
    <col min="2" max="2" width="23.44140625" customWidth="1"/>
    <col min="3" max="3" width="47" customWidth="1"/>
    <col min="4" max="4" width="15.6640625" bestFit="1" customWidth="1"/>
    <col min="5" max="5" width="13" bestFit="1" customWidth="1"/>
    <col min="6" max="6" width="16.88671875" bestFit="1" customWidth="1"/>
    <col min="7" max="7" width="15.33203125" bestFit="1" customWidth="1"/>
    <col min="8" max="8" width="17.6640625" bestFit="1" customWidth="1"/>
    <col min="9" max="9" width="16.109375" bestFit="1" customWidth="1"/>
    <col min="10" max="10" width="25.6640625" bestFit="1" customWidth="1"/>
    <col min="11" max="11" width="13" bestFit="1" customWidth="1"/>
    <col min="12" max="12" width="12.33203125" bestFit="1" customWidth="1"/>
    <col min="13" max="13" width="12.6640625" bestFit="1" customWidth="1"/>
    <col min="14" max="14" width="23.88671875" bestFit="1" customWidth="1"/>
    <col min="15" max="17" width="18.5546875" customWidth="1"/>
    <col min="18" max="18" width="7.6640625" bestFit="1" customWidth="1"/>
    <col min="19" max="19" width="12.33203125" bestFit="1" customWidth="1"/>
    <col min="20" max="20" width="17.109375" bestFit="1" customWidth="1"/>
    <col min="21" max="21" width="15" bestFit="1" customWidth="1"/>
    <col min="22" max="22" width="11.6640625" bestFit="1" customWidth="1"/>
    <col min="23" max="23" width="17.44140625" bestFit="1" customWidth="1"/>
    <col min="24" max="24" width="11.33203125" bestFit="1" customWidth="1"/>
    <col min="25" max="25" width="32.6640625" bestFit="1" customWidth="1"/>
    <col min="26" max="26" width="20.5546875" bestFit="1" customWidth="1"/>
    <col min="27" max="27" width="21" bestFit="1" customWidth="1"/>
    <col min="28" max="28" width="24.109375" bestFit="1" customWidth="1"/>
    <col min="29" max="29" width="32.88671875" customWidth="1"/>
    <col min="30" max="30" width="38" bestFit="1" customWidth="1"/>
    <col min="31" max="31" width="26.6640625" bestFit="1" customWidth="1"/>
    <col min="32" max="32" width="17.109375" bestFit="1" customWidth="1"/>
    <col min="33" max="33" width="8.5546875" bestFit="1" customWidth="1"/>
    <col min="34" max="34" width="17.44140625" bestFit="1" customWidth="1"/>
    <col min="35" max="35" width="9.33203125" bestFit="1" customWidth="1"/>
    <col min="36" max="36" width="14.6640625" bestFit="1" customWidth="1"/>
    <col min="37" max="37" width="29.109375" bestFit="1" customWidth="1"/>
    <col min="38" max="38" width="28.5546875" bestFit="1" customWidth="1"/>
    <col min="39" max="39" width="27.33203125" bestFit="1" customWidth="1"/>
    <col min="40" max="40" width="29.44140625" bestFit="1" customWidth="1"/>
    <col min="41" max="41" width="31.6640625" bestFit="1" customWidth="1"/>
  </cols>
  <sheetData>
    <row r="1" spans="1:41" s="3" customFormat="1" x14ac:dyDescent="0.3">
      <c r="A1" s="3" t="s">
        <v>47</v>
      </c>
      <c r="B1" s="3" t="s">
        <v>48</v>
      </c>
      <c r="C1" s="3" t="s">
        <v>76</v>
      </c>
      <c r="D1" s="3" t="s">
        <v>77</v>
      </c>
      <c r="E1" s="3" t="s">
        <v>78</v>
      </c>
      <c r="F1" s="3" t="s">
        <v>79</v>
      </c>
      <c r="G1" s="3" t="s">
        <v>80</v>
      </c>
      <c r="H1" s="3" t="s">
        <v>81</v>
      </c>
      <c r="I1" s="3" t="s">
        <v>82</v>
      </c>
      <c r="J1" s="3" t="s">
        <v>83</v>
      </c>
      <c r="K1" s="20" t="s">
        <v>84</v>
      </c>
      <c r="L1" s="3" t="s">
        <v>85</v>
      </c>
      <c r="M1" s="3" t="s">
        <v>86</v>
      </c>
      <c r="N1" s="3" t="s">
        <v>87</v>
      </c>
      <c r="O1" s="3" t="s">
        <v>88</v>
      </c>
      <c r="P1" s="3" t="s">
        <v>89</v>
      </c>
      <c r="Q1" s="3" t="s">
        <v>90</v>
      </c>
      <c r="R1" s="3" t="s">
        <v>91</v>
      </c>
      <c r="S1" s="3" t="s">
        <v>92</v>
      </c>
      <c r="T1" s="3" t="s">
        <v>93</v>
      </c>
      <c r="U1" s="3" t="s">
        <v>94</v>
      </c>
      <c r="V1" s="3" t="s">
        <v>95</v>
      </c>
      <c r="W1" s="3" t="s">
        <v>96</v>
      </c>
      <c r="X1" s="3" t="s">
        <v>97</v>
      </c>
      <c r="Y1" s="3" t="s">
        <v>98</v>
      </c>
      <c r="Z1" s="3" t="s">
        <v>99</v>
      </c>
      <c r="AA1" s="3" t="s">
        <v>100</v>
      </c>
      <c r="AB1" s="3" t="s">
        <v>101</v>
      </c>
      <c r="AC1" s="3" t="s">
        <v>102</v>
      </c>
      <c r="AD1" s="3" t="s">
        <v>103</v>
      </c>
      <c r="AE1" s="3" t="s">
        <v>104</v>
      </c>
      <c r="AF1" s="3" t="s">
        <v>105</v>
      </c>
      <c r="AG1" s="3" t="s">
        <v>106</v>
      </c>
      <c r="AH1" s="3" t="s">
        <v>107</v>
      </c>
      <c r="AI1" s="3" t="s">
        <v>108</v>
      </c>
      <c r="AJ1" s="3" t="s">
        <v>109</v>
      </c>
      <c r="AK1" s="3" t="s">
        <v>110</v>
      </c>
      <c r="AL1" s="3" t="s">
        <v>111</v>
      </c>
      <c r="AM1" s="3" t="s">
        <v>112</v>
      </c>
      <c r="AN1" s="3" t="s">
        <v>113</v>
      </c>
      <c r="AO1" s="3" t="s">
        <v>114</v>
      </c>
    </row>
    <row r="2" spans="1:41" s="3" customFormat="1" x14ac:dyDescent="0.3">
      <c r="A2" t="s">
        <v>59</v>
      </c>
      <c r="B2" t="s">
        <v>59</v>
      </c>
      <c r="C2" s="6" t="s">
        <v>115</v>
      </c>
      <c r="D2" t="s">
        <v>116</v>
      </c>
      <c r="E2" t="s">
        <v>116</v>
      </c>
      <c r="F2">
        <v>43.043059999999997</v>
      </c>
      <c r="G2">
        <v>16.093060000000001</v>
      </c>
      <c r="H2">
        <v>43.043059999999997</v>
      </c>
      <c r="I2">
        <v>16.093060000000001</v>
      </c>
      <c r="J2" t="s">
        <v>117</v>
      </c>
      <c r="K2" s="19" t="s">
        <v>118</v>
      </c>
      <c r="N2" t="s">
        <v>116</v>
      </c>
      <c r="R2" t="s">
        <v>119</v>
      </c>
      <c r="S2" t="s">
        <v>120</v>
      </c>
      <c r="T2" s="21" t="s">
        <v>265</v>
      </c>
      <c r="U2" t="s">
        <v>121</v>
      </c>
      <c r="V2" s="6" t="s">
        <v>122</v>
      </c>
      <c r="AC2" t="s">
        <v>123</v>
      </c>
      <c r="AD2" t="s">
        <v>123</v>
      </c>
    </row>
    <row r="3" spans="1:41" x14ac:dyDescent="0.3">
      <c r="A3" t="s">
        <v>64</v>
      </c>
      <c r="B3" t="s">
        <v>58</v>
      </c>
      <c r="C3" t="s">
        <v>115</v>
      </c>
      <c r="D3" t="s">
        <v>124</v>
      </c>
      <c r="E3" t="s">
        <v>116</v>
      </c>
      <c r="F3">
        <v>43.059193999999998</v>
      </c>
      <c r="G3">
        <v>1.6052299999999999</v>
      </c>
      <c r="H3">
        <v>43.059193999999998</v>
      </c>
      <c r="I3">
        <v>1.6052299999999999</v>
      </c>
      <c r="J3" t="s">
        <v>117</v>
      </c>
      <c r="K3" s="19" t="s">
        <v>125</v>
      </c>
      <c r="N3" t="s">
        <v>124</v>
      </c>
      <c r="V3" s="6"/>
      <c r="AC3" t="s">
        <v>259</v>
      </c>
      <c r="AD3" t="s">
        <v>260</v>
      </c>
      <c r="AE3" t="s">
        <v>126</v>
      </c>
    </row>
    <row r="4" spans="1:41" x14ac:dyDescent="0.3">
      <c r="A4" t="s">
        <v>69</v>
      </c>
      <c r="B4" t="s">
        <v>58</v>
      </c>
      <c r="C4" t="s">
        <v>115</v>
      </c>
      <c r="D4" t="s">
        <v>127</v>
      </c>
      <c r="E4" t="s">
        <v>116</v>
      </c>
      <c r="F4">
        <v>43.053539999999998</v>
      </c>
      <c r="G4">
        <v>16.038080999999998</v>
      </c>
      <c r="H4">
        <v>43.053539999999998</v>
      </c>
      <c r="I4">
        <v>16.038080999999998</v>
      </c>
      <c r="J4" t="s">
        <v>117</v>
      </c>
      <c r="K4" s="19" t="s">
        <v>125</v>
      </c>
      <c r="N4" t="s">
        <v>127</v>
      </c>
      <c r="V4" s="6"/>
      <c r="AC4" t="s">
        <v>128</v>
      </c>
      <c r="AD4" t="s">
        <v>129</v>
      </c>
      <c r="AE4" t="s">
        <v>130</v>
      </c>
    </row>
    <row r="5" spans="1:41" x14ac:dyDescent="0.3">
      <c r="A5" t="s">
        <v>71</v>
      </c>
      <c r="B5" t="s">
        <v>58</v>
      </c>
      <c r="C5" t="s">
        <v>115</v>
      </c>
      <c r="D5" t="s">
        <v>131</v>
      </c>
      <c r="E5" t="s">
        <v>116</v>
      </c>
      <c r="F5">
        <v>43.007120999999998</v>
      </c>
      <c r="G5">
        <v>16.066808000000002</v>
      </c>
      <c r="H5">
        <v>43.007120999999998</v>
      </c>
      <c r="I5">
        <v>16.066808000000002</v>
      </c>
      <c r="J5" t="s">
        <v>117</v>
      </c>
      <c r="K5" s="19" t="s">
        <v>125</v>
      </c>
      <c r="N5" t="s">
        <v>131</v>
      </c>
      <c r="V5" s="6"/>
      <c r="AC5" t="s">
        <v>259</v>
      </c>
      <c r="AD5" t="s">
        <v>260</v>
      </c>
      <c r="AE5" t="s">
        <v>126</v>
      </c>
    </row>
    <row r="6" spans="1:41" x14ac:dyDescent="0.3">
      <c r="A6" t="s">
        <v>72</v>
      </c>
      <c r="B6" t="s">
        <v>58</v>
      </c>
      <c r="C6" t="s">
        <v>115</v>
      </c>
      <c r="D6" t="s">
        <v>132</v>
      </c>
      <c r="E6" t="s">
        <v>116</v>
      </c>
      <c r="F6">
        <v>43.009689000000002</v>
      </c>
      <c r="G6">
        <v>16.068348</v>
      </c>
      <c r="H6">
        <v>43.009689000000002</v>
      </c>
      <c r="I6">
        <v>16.068348</v>
      </c>
      <c r="J6" t="s">
        <v>117</v>
      </c>
      <c r="K6" s="19" t="s">
        <v>125</v>
      </c>
      <c r="N6" t="s">
        <v>132</v>
      </c>
      <c r="V6" s="6"/>
      <c r="AC6" t="s">
        <v>259</v>
      </c>
      <c r="AD6" t="s">
        <v>260</v>
      </c>
      <c r="AE6" t="s">
        <v>126</v>
      </c>
    </row>
    <row r="7" spans="1:41" x14ac:dyDescent="0.3">
      <c r="A7" t="s">
        <v>73</v>
      </c>
      <c r="B7" t="s">
        <v>58</v>
      </c>
      <c r="C7" t="s">
        <v>115</v>
      </c>
      <c r="D7" t="s">
        <v>133</v>
      </c>
      <c r="E7" t="s">
        <v>116</v>
      </c>
      <c r="F7">
        <v>43.053545</v>
      </c>
      <c r="G7">
        <v>16.039752</v>
      </c>
      <c r="H7">
        <v>43.053545</v>
      </c>
      <c r="I7">
        <v>16.039752</v>
      </c>
      <c r="J7" t="s">
        <v>117</v>
      </c>
      <c r="K7" s="19" t="s">
        <v>125</v>
      </c>
      <c r="N7" t="s">
        <v>133</v>
      </c>
      <c r="V7" s="6"/>
      <c r="AC7" t="s">
        <v>259</v>
      </c>
      <c r="AD7" t="s">
        <v>260</v>
      </c>
      <c r="AE7" t="s">
        <v>126</v>
      </c>
    </row>
    <row r="8" spans="1:41" x14ac:dyDescent="0.3">
      <c r="A8" t="s">
        <v>74</v>
      </c>
      <c r="B8" t="s">
        <v>58</v>
      </c>
      <c r="C8" t="s">
        <v>115</v>
      </c>
      <c r="D8" t="s">
        <v>134</v>
      </c>
      <c r="E8" t="s">
        <v>116</v>
      </c>
      <c r="F8">
        <v>43.007120999999998</v>
      </c>
      <c r="G8">
        <v>16.066808000000002</v>
      </c>
      <c r="H8">
        <v>43.007120999999998</v>
      </c>
      <c r="I8">
        <v>16.066808000000002</v>
      </c>
      <c r="J8" t="s">
        <v>117</v>
      </c>
      <c r="K8" s="19" t="s">
        <v>125</v>
      </c>
      <c r="N8" t="s">
        <v>134</v>
      </c>
      <c r="V8" s="6"/>
      <c r="AC8" t="s">
        <v>128</v>
      </c>
      <c r="AD8" t="s">
        <v>129</v>
      </c>
      <c r="AE8" t="s">
        <v>130</v>
      </c>
    </row>
    <row r="9" spans="1:41" x14ac:dyDescent="0.3">
      <c r="A9" t="s">
        <v>75</v>
      </c>
      <c r="B9" t="s">
        <v>58</v>
      </c>
      <c r="C9" t="s">
        <v>115</v>
      </c>
      <c r="D9" t="s">
        <v>135</v>
      </c>
      <c r="E9" t="s">
        <v>116</v>
      </c>
      <c r="F9">
        <v>43.004885000000002</v>
      </c>
      <c r="G9">
        <v>16.071550999999999</v>
      </c>
      <c r="H9">
        <v>43.004885000000002</v>
      </c>
      <c r="I9">
        <v>16.071550999999999</v>
      </c>
      <c r="J9" t="s">
        <v>117</v>
      </c>
      <c r="K9" s="19" t="s">
        <v>125</v>
      </c>
      <c r="N9" t="s">
        <v>135</v>
      </c>
      <c r="V9" s="6"/>
      <c r="AC9" t="s">
        <v>259</v>
      </c>
      <c r="AD9" t="s">
        <v>260</v>
      </c>
      <c r="AE9" t="s">
        <v>126</v>
      </c>
    </row>
    <row r="13" spans="1:41" x14ac:dyDescent="0.3">
      <c r="A13" s="14"/>
    </row>
    <row r="14" spans="1:41" x14ac:dyDescent="0.3">
      <c r="A14" s="14"/>
    </row>
    <row r="15" spans="1:41" x14ac:dyDescent="0.3">
      <c r="A15" s="14"/>
      <c r="H15" s="2"/>
    </row>
    <row r="16" spans="1:41" x14ac:dyDescent="0.3">
      <c r="A16" s="14"/>
    </row>
    <row r="17" spans="1:1" x14ac:dyDescent="0.3">
      <c r="A17" s="14"/>
    </row>
    <row r="18" spans="1:1" x14ac:dyDescent="0.3">
      <c r="A18" s="14"/>
    </row>
    <row r="19" spans="1:1" x14ac:dyDescent="0.3">
      <c r="A19" s="14"/>
    </row>
    <row r="20" spans="1:1" x14ac:dyDescent="0.3">
      <c r="A20" s="14"/>
    </row>
    <row r="21" spans="1:1" x14ac:dyDescent="0.3">
      <c r="A21" s="14"/>
    </row>
    <row r="22" spans="1:1" x14ac:dyDescent="0.3">
      <c r="A22" s="14"/>
    </row>
  </sheetData>
  <phoneticPr fontId="3" type="noConversion"/>
  <hyperlinks>
    <hyperlink ref="V2" r:id="rId1" xr:uid="{3C52E089-CE73-4C8E-987A-E7A67EBF9F71}"/>
    <hyperlink ref="C2" r:id="rId2" xr:uid="{C43DF637-BD4E-4374-AA5B-582C72594DF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3211-D29B-4081-8D98-19429294F69B}">
  <dimension ref="A1:H13"/>
  <sheetViews>
    <sheetView topLeftCell="D1" workbookViewId="0">
      <selection activeCell="E3" sqref="E3"/>
    </sheetView>
  </sheetViews>
  <sheetFormatPr defaultRowHeight="14.4" x14ac:dyDescent="0.3"/>
  <cols>
    <col min="1" max="1" width="23.109375" customWidth="1"/>
    <col min="2" max="2" width="15" bestFit="1" customWidth="1"/>
    <col min="3" max="3" width="60" customWidth="1"/>
    <col min="4" max="4" width="24.33203125" bestFit="1" customWidth="1"/>
    <col min="5" max="5" width="22.88671875" bestFit="1" customWidth="1"/>
    <col min="6" max="6" width="17.44140625" bestFit="1" customWidth="1"/>
    <col min="7" max="7" width="26" bestFit="1" customWidth="1"/>
    <col min="8" max="8" width="20.33203125" bestFit="1" customWidth="1"/>
  </cols>
  <sheetData>
    <row r="1" spans="1:8" s="3" customFormat="1" x14ac:dyDescent="0.3">
      <c r="A1" s="3" t="s">
        <v>47</v>
      </c>
      <c r="B1" s="3" t="s">
        <v>48</v>
      </c>
      <c r="C1" s="3" t="s">
        <v>136</v>
      </c>
      <c r="D1" s="3" t="s">
        <v>137</v>
      </c>
      <c r="E1" s="3" t="s">
        <v>138</v>
      </c>
      <c r="F1" s="3" t="s">
        <v>139</v>
      </c>
      <c r="G1" s="3" t="s">
        <v>140</v>
      </c>
      <c r="H1" s="3" t="s">
        <v>141</v>
      </c>
    </row>
    <row r="2" spans="1:8" x14ac:dyDescent="0.3">
      <c r="A2" t="s">
        <v>58</v>
      </c>
      <c r="C2" t="s">
        <v>248</v>
      </c>
      <c r="D2" t="s">
        <v>261</v>
      </c>
      <c r="E2" t="s">
        <v>123</v>
      </c>
      <c r="F2" t="s">
        <v>123</v>
      </c>
      <c r="G2" t="s">
        <v>123</v>
      </c>
      <c r="H2" t="s">
        <v>123</v>
      </c>
    </row>
    <row r="11" spans="1:8" x14ac:dyDescent="0.3">
      <c r="A11" s="14"/>
    </row>
    <row r="12" spans="1:8" x14ac:dyDescent="0.3">
      <c r="A12" s="14"/>
    </row>
    <row r="13" spans="1:8" x14ac:dyDescent="0.3">
      <c r="A13"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C02D6-5705-4223-84CF-E40AF8AD4758}">
  <dimension ref="A1:L2"/>
  <sheetViews>
    <sheetView topLeftCell="B1" workbookViewId="0">
      <selection activeCell="C3" sqref="C3"/>
    </sheetView>
  </sheetViews>
  <sheetFormatPr defaultRowHeight="14.4" x14ac:dyDescent="0.3"/>
  <cols>
    <col min="1" max="1" width="20.5546875" customWidth="1"/>
    <col min="2" max="2" width="13.6640625" bestFit="1" customWidth="1"/>
    <col min="3" max="3" width="52.5546875" customWidth="1"/>
    <col min="4" max="4" width="38" customWidth="1"/>
    <col min="5" max="5" width="23.5546875" customWidth="1"/>
    <col min="6" max="6" width="26" bestFit="1" customWidth="1"/>
    <col min="7" max="7" width="29.44140625" bestFit="1" customWidth="1"/>
    <col min="8" max="8" width="17.6640625" bestFit="1" customWidth="1"/>
    <col min="9" max="9" width="10.6640625" bestFit="1" customWidth="1"/>
    <col min="10" max="10" width="17.33203125" bestFit="1" customWidth="1"/>
    <col min="11" max="11" width="13.6640625" bestFit="1" customWidth="1"/>
    <col min="12" max="12" width="29" bestFit="1" customWidth="1"/>
    <col min="13" max="13" width="26.5546875" bestFit="1" customWidth="1"/>
  </cols>
  <sheetData>
    <row r="1" spans="1:12" s="3" customFormat="1" x14ac:dyDescent="0.3">
      <c r="A1" s="3" t="s">
        <v>47</v>
      </c>
      <c r="B1" s="3" t="s">
        <v>48</v>
      </c>
      <c r="C1" s="3" t="s">
        <v>142</v>
      </c>
      <c r="D1" s="3" t="s">
        <v>143</v>
      </c>
      <c r="E1" s="3" t="s">
        <v>144</v>
      </c>
      <c r="F1" s="3" t="s">
        <v>145</v>
      </c>
      <c r="G1" s="3" t="s">
        <v>146</v>
      </c>
      <c r="H1" s="3" t="s">
        <v>147</v>
      </c>
      <c r="I1" s="3" t="s">
        <v>148</v>
      </c>
      <c r="J1" s="3" t="s">
        <v>149</v>
      </c>
      <c r="K1" s="3" t="s">
        <v>150</v>
      </c>
      <c r="L1" s="3" t="s">
        <v>151</v>
      </c>
    </row>
    <row r="2" spans="1:12" x14ac:dyDescent="0.3">
      <c r="A2" t="s">
        <v>59</v>
      </c>
      <c r="C2" t="s">
        <v>308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14E9-8188-4C29-AB1D-766D4670E624}">
  <dimension ref="A1:O1"/>
  <sheetViews>
    <sheetView workbookViewId="0">
      <selection activeCell="E31" sqref="E31"/>
    </sheetView>
  </sheetViews>
  <sheetFormatPr defaultRowHeight="14.4" x14ac:dyDescent="0.3"/>
  <cols>
    <col min="1" max="1" width="7.88671875" bestFit="1" customWidth="1"/>
    <col min="2" max="2" width="13.6640625" bestFit="1" customWidth="1"/>
    <col min="3" max="3" width="18.6640625" bestFit="1" customWidth="1"/>
    <col min="4" max="4" width="21.6640625" bestFit="1" customWidth="1"/>
    <col min="5" max="5" width="27.33203125" bestFit="1" customWidth="1"/>
    <col min="6" max="6" width="31.6640625" bestFit="1" customWidth="1"/>
    <col min="7" max="7" width="34.5546875" bestFit="1" customWidth="1"/>
    <col min="8" max="8" width="40.33203125" bestFit="1" customWidth="1"/>
    <col min="9" max="9" width="21.88671875" bestFit="1" customWidth="1"/>
    <col min="10" max="10" width="25.6640625" bestFit="1" customWidth="1"/>
    <col min="11" max="11" width="31.6640625" bestFit="1" customWidth="1"/>
    <col min="12" max="12" width="22.6640625" bestFit="1" customWidth="1"/>
    <col min="13" max="13" width="18.88671875" bestFit="1" customWidth="1"/>
    <col min="14" max="14" width="21.88671875" bestFit="1" customWidth="1"/>
    <col min="15" max="15" width="22.33203125" bestFit="1" customWidth="1"/>
  </cols>
  <sheetData>
    <row r="1" spans="1:15" s="3" customFormat="1" x14ac:dyDescent="0.3">
      <c r="A1" s="3" t="s">
        <v>47</v>
      </c>
      <c r="B1" s="3" t="s">
        <v>48</v>
      </c>
      <c r="C1" s="3" t="s">
        <v>152</v>
      </c>
      <c r="D1" s="3" t="s">
        <v>153</v>
      </c>
      <c r="E1" s="3" t="s">
        <v>154</v>
      </c>
      <c r="F1" s="3" t="s">
        <v>155</v>
      </c>
      <c r="G1" s="3" t="s">
        <v>156</v>
      </c>
      <c r="H1" s="3" t="s">
        <v>157</v>
      </c>
      <c r="I1" s="3" t="s">
        <v>158</v>
      </c>
      <c r="J1" s="3" t="s">
        <v>159</v>
      </c>
      <c r="K1" s="3" t="s">
        <v>160</v>
      </c>
      <c r="L1" s="3" t="s">
        <v>161</v>
      </c>
      <c r="M1" s="3" t="s">
        <v>162</v>
      </c>
      <c r="N1" s="3" t="s">
        <v>163</v>
      </c>
      <c r="O1" s="3" t="s">
        <v>164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92E8-285B-40F5-8F25-A8AB3ED602D4}">
  <dimension ref="A1:V3"/>
  <sheetViews>
    <sheetView zoomScale="115" zoomScaleNormal="115" workbookViewId="0">
      <selection activeCell="K2" sqref="K2"/>
    </sheetView>
  </sheetViews>
  <sheetFormatPr defaultRowHeight="14.4" x14ac:dyDescent="0.3"/>
  <cols>
    <col min="1" max="1" width="17.6640625" customWidth="1"/>
    <col min="2" max="2" width="14.109375" customWidth="1"/>
    <col min="3" max="3" width="13.6640625" bestFit="1" customWidth="1"/>
    <col min="4" max="4" width="16.5546875" bestFit="1" customWidth="1"/>
    <col min="5" max="5" width="22.33203125" bestFit="1" customWidth="1"/>
    <col min="6" max="6" width="12.6640625" bestFit="1" customWidth="1"/>
    <col min="7" max="7" width="27.88671875" bestFit="1" customWidth="1"/>
    <col min="8" max="8" width="20.44140625" bestFit="1" customWidth="1"/>
    <col min="9" max="9" width="28.44140625" bestFit="1" customWidth="1"/>
    <col min="10" max="10" width="11.33203125" bestFit="1" customWidth="1"/>
    <col min="11" max="11" width="14" bestFit="1" customWidth="1"/>
    <col min="12" max="12" width="13.88671875" bestFit="1" customWidth="1"/>
    <col min="13" max="13" width="15.6640625" customWidth="1"/>
    <col min="14" max="14" width="15" bestFit="1" customWidth="1"/>
    <col min="15" max="15" width="14.88671875" customWidth="1"/>
    <col min="16" max="16" width="11.6640625" bestFit="1" customWidth="1"/>
    <col min="17" max="17" width="16.109375" bestFit="1" customWidth="1"/>
    <col min="18" max="18" width="16.33203125" bestFit="1" customWidth="1"/>
    <col min="19" max="19" width="19.6640625" bestFit="1" customWidth="1"/>
    <col min="20" max="20" width="15.33203125" bestFit="1" customWidth="1"/>
    <col min="21" max="21" width="14" bestFit="1" customWidth="1"/>
    <col min="22" max="22" width="27.44140625" bestFit="1" customWidth="1"/>
  </cols>
  <sheetData>
    <row r="1" spans="1:22" s="3" customFormat="1" x14ac:dyDescent="0.3">
      <c r="A1" s="3" t="s">
        <v>249</v>
      </c>
      <c r="B1" s="3" t="s">
        <v>47</v>
      </c>
      <c r="C1" s="3" t="s">
        <v>48</v>
      </c>
      <c r="D1" s="3" t="s">
        <v>165</v>
      </c>
      <c r="E1" s="3" t="s">
        <v>166</v>
      </c>
      <c r="F1" s="3" t="s">
        <v>167</v>
      </c>
      <c r="G1" s="3" t="s">
        <v>168</v>
      </c>
      <c r="H1" s="3" t="s">
        <v>169</v>
      </c>
      <c r="I1" s="3" t="s">
        <v>170</v>
      </c>
      <c r="J1" s="3" t="s">
        <v>171</v>
      </c>
      <c r="K1" s="3" t="s">
        <v>172</v>
      </c>
      <c r="L1" s="3" t="s">
        <v>173</v>
      </c>
      <c r="M1" s="3" t="s">
        <v>174</v>
      </c>
      <c r="N1" s="3" t="s">
        <v>175</v>
      </c>
      <c r="O1" s="3" t="s">
        <v>176</v>
      </c>
      <c r="P1" s="3" t="s">
        <v>177</v>
      </c>
      <c r="Q1" s="3" t="s">
        <v>178</v>
      </c>
      <c r="R1" s="3" t="s">
        <v>179</v>
      </c>
      <c r="S1" s="3" t="s">
        <v>180</v>
      </c>
      <c r="T1" s="3" t="s">
        <v>181</v>
      </c>
      <c r="U1" s="3" t="s">
        <v>182</v>
      </c>
      <c r="V1" s="3" t="s">
        <v>183</v>
      </c>
    </row>
    <row r="2" spans="1:22" x14ac:dyDescent="0.3">
      <c r="A2" t="s">
        <v>253</v>
      </c>
      <c r="B2" t="s">
        <v>59</v>
      </c>
      <c r="D2" t="s">
        <v>250</v>
      </c>
      <c r="E2" t="s">
        <v>123</v>
      </c>
      <c r="F2" t="s">
        <v>251</v>
      </c>
      <c r="G2" t="s">
        <v>252</v>
      </c>
      <c r="H2" s="21" t="s">
        <v>289</v>
      </c>
      <c r="I2" s="21" t="s">
        <v>287</v>
      </c>
      <c r="J2" s="21" t="s">
        <v>290</v>
      </c>
      <c r="K2" s="21" t="s">
        <v>293</v>
      </c>
      <c r="L2" t="s">
        <v>255</v>
      </c>
      <c r="M2" t="s">
        <v>123</v>
      </c>
      <c r="N2" t="s">
        <v>123</v>
      </c>
      <c r="O2" t="s">
        <v>123</v>
      </c>
      <c r="Q2" t="s">
        <v>123</v>
      </c>
      <c r="R2" t="s">
        <v>123</v>
      </c>
      <c r="S2" t="s">
        <v>123</v>
      </c>
      <c r="T2" t="s">
        <v>123</v>
      </c>
      <c r="U2" t="s">
        <v>123</v>
      </c>
      <c r="V2" t="s">
        <v>123</v>
      </c>
    </row>
    <row r="3" spans="1:22" x14ac:dyDescent="0.3">
      <c r="A3" t="s">
        <v>254</v>
      </c>
      <c r="B3" t="s">
        <v>59</v>
      </c>
      <c r="D3" t="s">
        <v>250</v>
      </c>
      <c r="E3" t="s">
        <v>123</v>
      </c>
      <c r="F3" t="s">
        <v>251</v>
      </c>
      <c r="G3" t="s">
        <v>252</v>
      </c>
      <c r="H3" s="21" t="s">
        <v>286</v>
      </c>
      <c r="I3" s="21" t="s">
        <v>288</v>
      </c>
      <c r="J3" s="21" t="s">
        <v>291</v>
      </c>
      <c r="K3" s="21" t="s">
        <v>292</v>
      </c>
      <c r="L3" t="s">
        <v>255</v>
      </c>
      <c r="M3" t="s">
        <v>123</v>
      </c>
      <c r="N3" t="s">
        <v>123</v>
      </c>
      <c r="O3" t="s">
        <v>123</v>
      </c>
      <c r="Q3" t="s">
        <v>123</v>
      </c>
      <c r="R3" t="s">
        <v>123</v>
      </c>
      <c r="S3" t="s">
        <v>123</v>
      </c>
      <c r="T3" t="s">
        <v>123</v>
      </c>
      <c r="U3" t="s">
        <v>123</v>
      </c>
      <c r="V3" t="s">
        <v>123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557A-C0C1-4ADF-A07A-9E3176C81019}">
  <dimension ref="A1:T3"/>
  <sheetViews>
    <sheetView topLeftCell="F1" workbookViewId="0">
      <selection activeCell="L4" sqref="L4"/>
    </sheetView>
  </sheetViews>
  <sheetFormatPr defaultRowHeight="14.4" x14ac:dyDescent="0.3"/>
  <cols>
    <col min="1" max="1" width="22.44140625" customWidth="1"/>
    <col min="2" max="2" width="23.88671875" bestFit="1" customWidth="1"/>
    <col min="3" max="3" width="15" bestFit="1" customWidth="1"/>
    <col min="4" max="4" width="46.109375" customWidth="1"/>
    <col min="5" max="5" width="33.109375" customWidth="1"/>
    <col min="6" max="6" width="18.6640625" bestFit="1" customWidth="1"/>
    <col min="7" max="7" width="27.6640625" bestFit="1" customWidth="1"/>
    <col min="8" max="8" width="18.88671875" bestFit="1" customWidth="1"/>
    <col min="9" max="9" width="17.44140625" bestFit="1" customWidth="1"/>
    <col min="10" max="10" width="16.88671875" bestFit="1" customWidth="1"/>
    <col min="11" max="11" width="11.33203125" bestFit="1" customWidth="1"/>
    <col min="12" max="12" width="37.109375" bestFit="1" customWidth="1"/>
    <col min="13" max="13" width="35.6640625" bestFit="1" customWidth="1"/>
    <col min="14" max="14" width="17.6640625" bestFit="1" customWidth="1"/>
    <col min="15" max="15" width="17.6640625" customWidth="1"/>
    <col min="16" max="16" width="14.5546875" bestFit="1" customWidth="1"/>
    <col min="17" max="17" width="20.6640625" bestFit="1" customWidth="1"/>
    <col min="18" max="18" width="24.33203125" bestFit="1" customWidth="1"/>
    <col min="19" max="19" width="14.109375" bestFit="1" customWidth="1"/>
    <col min="20" max="20" width="44.109375" bestFit="1" customWidth="1"/>
  </cols>
  <sheetData>
    <row r="1" spans="1:20" s="3" customFormat="1" x14ac:dyDescent="0.3">
      <c r="A1" s="3" t="s">
        <v>257</v>
      </c>
      <c r="B1" s="3" t="s">
        <v>47</v>
      </c>
      <c r="C1" s="3" t="s">
        <v>48</v>
      </c>
      <c r="D1" s="3" t="s">
        <v>184</v>
      </c>
      <c r="E1" s="3" t="s">
        <v>185</v>
      </c>
      <c r="F1" s="3" t="s">
        <v>186</v>
      </c>
      <c r="G1" s="3" t="s">
        <v>187</v>
      </c>
      <c r="H1" s="3" t="s">
        <v>188</v>
      </c>
      <c r="I1" s="3" t="s">
        <v>189</v>
      </c>
      <c r="J1" s="3" t="s">
        <v>190</v>
      </c>
      <c r="K1" s="3" t="s">
        <v>191</v>
      </c>
      <c r="L1" s="3" t="s">
        <v>192</v>
      </c>
      <c r="M1" s="3" t="s">
        <v>193</v>
      </c>
      <c r="N1" s="3" t="s">
        <v>194</v>
      </c>
      <c r="O1" s="20" t="s">
        <v>297</v>
      </c>
      <c r="P1" s="3" t="s">
        <v>195</v>
      </c>
      <c r="Q1" s="3" t="s">
        <v>196</v>
      </c>
      <c r="R1" s="3" t="s">
        <v>197</v>
      </c>
      <c r="S1" s="3" t="s">
        <v>198</v>
      </c>
      <c r="T1" s="3" t="s">
        <v>199</v>
      </c>
    </row>
    <row r="2" spans="1:20" x14ac:dyDescent="0.3">
      <c r="A2" t="s">
        <v>253</v>
      </c>
      <c r="B2" t="s">
        <v>59</v>
      </c>
      <c r="C2" t="s">
        <v>59</v>
      </c>
      <c r="D2" t="s">
        <v>262</v>
      </c>
      <c r="E2" t="s">
        <v>264</v>
      </c>
      <c r="F2" t="s">
        <v>256</v>
      </c>
      <c r="G2" t="s">
        <v>256</v>
      </c>
      <c r="H2" t="b">
        <v>0</v>
      </c>
      <c r="I2" t="b">
        <v>1</v>
      </c>
      <c r="J2" t="s">
        <v>123</v>
      </c>
      <c r="K2" s="21" t="s">
        <v>294</v>
      </c>
      <c r="L2" t="s">
        <v>261</v>
      </c>
      <c r="M2" t="s">
        <v>255</v>
      </c>
      <c r="N2" s="21">
        <v>0</v>
      </c>
      <c r="O2" s="22" t="s">
        <v>108</v>
      </c>
      <c r="P2" s="21" t="s">
        <v>296</v>
      </c>
    </row>
    <row r="3" spans="1:20" x14ac:dyDescent="0.3">
      <c r="A3" t="s">
        <v>254</v>
      </c>
      <c r="B3" t="s">
        <v>59</v>
      </c>
      <c r="D3" t="s">
        <v>263</v>
      </c>
      <c r="E3" s="23" t="s">
        <v>299</v>
      </c>
      <c r="F3" t="s">
        <v>256</v>
      </c>
      <c r="G3" t="s">
        <v>256</v>
      </c>
      <c r="H3" t="b">
        <v>0</v>
      </c>
      <c r="I3" t="b">
        <v>1</v>
      </c>
      <c r="J3" t="s">
        <v>123</v>
      </c>
      <c r="K3" t="s">
        <v>123</v>
      </c>
      <c r="L3" t="s">
        <v>261</v>
      </c>
      <c r="M3" t="s">
        <v>255</v>
      </c>
      <c r="N3" s="21">
        <v>0</v>
      </c>
      <c r="O3" s="22" t="s">
        <v>298</v>
      </c>
      <c r="P3" s="21" t="s">
        <v>295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812C3-6628-4643-8CCD-9E55983DDE61}">
  <dimension ref="A1:R13"/>
  <sheetViews>
    <sheetView topLeftCell="F1" workbookViewId="0">
      <selection activeCell="K2" sqref="K2"/>
    </sheetView>
  </sheetViews>
  <sheetFormatPr defaultRowHeight="14.4" x14ac:dyDescent="0.3"/>
  <cols>
    <col min="1" max="1" width="20.6640625" customWidth="1"/>
    <col min="2" max="2" width="13.6640625" bestFit="1" customWidth="1"/>
    <col min="3" max="3" width="37.33203125" customWidth="1"/>
    <col min="4" max="4" width="24.109375" bestFit="1" customWidth="1"/>
    <col min="5" max="5" width="19" bestFit="1" customWidth="1"/>
    <col min="6" max="6" width="17.6640625" bestFit="1" customWidth="1"/>
    <col min="7" max="7" width="21.6640625" bestFit="1" customWidth="1"/>
    <col min="8" max="8" width="26.33203125" bestFit="1" customWidth="1"/>
    <col min="9" max="9" width="34.88671875" bestFit="1" customWidth="1"/>
    <col min="10" max="10" width="21.6640625" bestFit="1" customWidth="1"/>
    <col min="11" max="11" width="27.5546875" customWidth="1"/>
    <col min="12" max="12" width="17.6640625" bestFit="1" customWidth="1"/>
    <col min="13" max="13" width="21.33203125" customWidth="1"/>
    <col min="14" max="14" width="16.33203125" bestFit="1" customWidth="1"/>
    <col min="15" max="15" width="18.44140625" bestFit="1" customWidth="1"/>
    <col min="16" max="16" width="13.44140625" bestFit="1" customWidth="1"/>
    <col min="17" max="17" width="13" bestFit="1" customWidth="1"/>
  </cols>
  <sheetData>
    <row r="1" spans="1:18" s="3" customFormat="1" x14ac:dyDescent="0.3">
      <c r="A1" s="3" t="s">
        <v>257</v>
      </c>
      <c r="B1" s="3" t="s">
        <v>48</v>
      </c>
      <c r="C1" s="3" t="s">
        <v>200</v>
      </c>
      <c r="D1" s="3" t="s">
        <v>201</v>
      </c>
      <c r="E1" s="3" t="s">
        <v>202</v>
      </c>
      <c r="F1" s="3" t="s">
        <v>203</v>
      </c>
      <c r="G1" s="3" t="s">
        <v>204</v>
      </c>
      <c r="H1" s="3" t="s">
        <v>205</v>
      </c>
      <c r="I1" s="3" t="s">
        <v>206</v>
      </c>
      <c r="J1" s="3" t="s">
        <v>207</v>
      </c>
      <c r="K1" s="3" t="s">
        <v>208</v>
      </c>
      <c r="L1" s="3" t="s">
        <v>209</v>
      </c>
      <c r="M1" s="3" t="s">
        <v>210</v>
      </c>
      <c r="N1" s="3" t="s">
        <v>211</v>
      </c>
      <c r="O1" s="3" t="s">
        <v>212</v>
      </c>
      <c r="P1" s="3" t="s">
        <v>213</v>
      </c>
      <c r="Q1" s="3" t="s">
        <v>214</v>
      </c>
    </row>
    <row r="2" spans="1:18" ht="72" x14ac:dyDescent="0.3">
      <c r="A2" t="s">
        <v>58</v>
      </c>
      <c r="B2" t="s">
        <v>59</v>
      </c>
      <c r="C2" t="s">
        <v>33</v>
      </c>
      <c r="D2" t="b">
        <v>1</v>
      </c>
      <c r="E2">
        <v>21</v>
      </c>
      <c r="F2" t="s">
        <v>215</v>
      </c>
      <c r="G2" s="2" t="s">
        <v>216</v>
      </c>
      <c r="I2" t="s">
        <v>258</v>
      </c>
      <c r="J2" s="21">
        <v>105</v>
      </c>
      <c r="K2" s="6" t="s">
        <v>217</v>
      </c>
      <c r="M2" t="s">
        <v>258</v>
      </c>
      <c r="N2" t="b">
        <v>1</v>
      </c>
      <c r="O2" t="b">
        <v>0</v>
      </c>
      <c r="P2" s="22">
        <v>361</v>
      </c>
      <c r="Q2" s="22">
        <v>361</v>
      </c>
      <c r="R2" s="19" t="s">
        <v>307</v>
      </c>
    </row>
    <row r="3" spans="1:18" x14ac:dyDescent="0.3">
      <c r="A3" s="19"/>
      <c r="J3" s="19" t="s">
        <v>300</v>
      </c>
    </row>
    <row r="4" spans="1:18" x14ac:dyDescent="0.3">
      <c r="J4" s="19" t="s">
        <v>301</v>
      </c>
      <c r="P4" s="19" t="s">
        <v>305</v>
      </c>
    </row>
    <row r="5" spans="1:18" x14ac:dyDescent="0.3">
      <c r="P5" s="20" t="s">
        <v>52</v>
      </c>
    </row>
    <row r="6" spans="1:18" x14ac:dyDescent="0.3">
      <c r="P6" s="19" t="s">
        <v>62</v>
      </c>
    </row>
    <row r="7" spans="1:18" x14ac:dyDescent="0.3">
      <c r="P7" s="24" t="s">
        <v>66</v>
      </c>
      <c r="Q7">
        <f>51+50+53+50+51+51+55</f>
        <v>361</v>
      </c>
    </row>
    <row r="8" spans="1:18" x14ac:dyDescent="0.3">
      <c r="P8" s="24" t="s">
        <v>302</v>
      </c>
    </row>
    <row r="9" spans="1:18" x14ac:dyDescent="0.3">
      <c r="P9" s="24" t="s">
        <v>303</v>
      </c>
    </row>
    <row r="10" spans="1:18" x14ac:dyDescent="0.3">
      <c r="P10" s="24" t="s">
        <v>302</v>
      </c>
    </row>
    <row r="11" spans="1:18" x14ac:dyDescent="0.3">
      <c r="P11" s="24" t="s">
        <v>66</v>
      </c>
    </row>
    <row r="12" spans="1:18" x14ac:dyDescent="0.3">
      <c r="P12" s="24" t="s">
        <v>66</v>
      </c>
    </row>
    <row r="13" spans="1:18" x14ac:dyDescent="0.3">
      <c r="P13" s="24" t="s">
        <v>304</v>
      </c>
    </row>
  </sheetData>
  <hyperlinks>
    <hyperlink ref="K2" r:id="rId1" xr:uid="{8206F086-09AB-4B28-B021-FA969EC13D5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9E1CE-6F0A-4720-B825-D88B9C03E178}">
  <dimension ref="A1:E2"/>
  <sheetViews>
    <sheetView workbookViewId="0">
      <selection activeCell="B2" sqref="B2"/>
    </sheetView>
  </sheetViews>
  <sheetFormatPr defaultRowHeight="14.4" x14ac:dyDescent="0.3"/>
  <cols>
    <col min="1" max="1" width="14" customWidth="1"/>
    <col min="2" max="2" width="7.88671875" bestFit="1" customWidth="1"/>
    <col min="3" max="3" width="13.6640625" bestFit="1" customWidth="1"/>
    <col min="4" max="4" width="18" bestFit="1" customWidth="1"/>
    <col min="5" max="5" width="21.88671875" bestFit="1" customWidth="1"/>
  </cols>
  <sheetData>
    <row r="1" spans="1:5" x14ac:dyDescent="0.3">
      <c r="A1" s="3" t="s">
        <v>257</v>
      </c>
      <c r="B1" s="3" t="s">
        <v>47</v>
      </c>
      <c r="C1" s="3" t="s">
        <v>48</v>
      </c>
      <c r="D1" s="3" t="s">
        <v>218</v>
      </c>
      <c r="E1" s="3" t="s">
        <v>219</v>
      </c>
    </row>
    <row r="2" spans="1:5" x14ac:dyDescent="0.3">
      <c r="B2" t="s">
        <v>59</v>
      </c>
      <c r="D2" t="s">
        <v>256</v>
      </c>
      <c r="E2" t="s">
        <v>256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21D1-1228-4F44-AA26-947BF92BFA1B}">
  <dimension ref="A1:K2"/>
  <sheetViews>
    <sheetView workbookViewId="0">
      <selection activeCell="D8" sqref="D8"/>
    </sheetView>
  </sheetViews>
  <sheetFormatPr defaultRowHeight="14.4" x14ac:dyDescent="0.3"/>
  <cols>
    <col min="1" max="1" width="12.109375" customWidth="1"/>
    <col min="2" max="2" width="13" customWidth="1"/>
    <col min="3" max="3" width="13.6640625" bestFit="1" customWidth="1"/>
    <col min="4" max="4" width="23.5546875" bestFit="1" customWidth="1"/>
    <col min="5" max="5" width="15.6640625" bestFit="1" customWidth="1"/>
    <col min="6" max="6" width="28" bestFit="1" customWidth="1"/>
    <col min="7" max="7" width="20.33203125" bestFit="1" customWidth="1"/>
    <col min="8" max="8" width="21" bestFit="1" customWidth="1"/>
    <col min="9" max="9" width="19.109375" bestFit="1" customWidth="1"/>
  </cols>
  <sheetData>
    <row r="1" spans="1:11" x14ac:dyDescent="0.3">
      <c r="A1" s="3" t="s">
        <v>257</v>
      </c>
      <c r="B1" s="3" t="s">
        <v>47</v>
      </c>
      <c r="C1" s="3" t="s">
        <v>48</v>
      </c>
      <c r="D1" s="3" t="s">
        <v>220</v>
      </c>
      <c r="E1" s="3" t="s">
        <v>221</v>
      </c>
      <c r="F1" s="3" t="s">
        <v>222</v>
      </c>
      <c r="G1" s="3" t="s">
        <v>223</v>
      </c>
      <c r="H1" s="3" t="s">
        <v>224</v>
      </c>
      <c r="I1" s="3" t="s">
        <v>225</v>
      </c>
      <c r="J1" s="3"/>
      <c r="K1" s="3"/>
    </row>
    <row r="2" spans="1:11" x14ac:dyDescent="0.3">
      <c r="B2" t="s">
        <v>59</v>
      </c>
      <c r="C2" s="3"/>
      <c r="D2" t="s">
        <v>256</v>
      </c>
      <c r="E2" t="s">
        <v>256</v>
      </c>
      <c r="F2" t="s">
        <v>256</v>
      </c>
      <c r="G2" t="s">
        <v>256</v>
      </c>
      <c r="H2" t="s">
        <v>256</v>
      </c>
      <c r="I2" t="s">
        <v>256</v>
      </c>
      <c r="J2" s="3"/>
      <c r="K2"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A08F-1152-41DE-9C0A-510CE091C520}">
  <dimension ref="A1:G2"/>
  <sheetViews>
    <sheetView workbookViewId="0">
      <selection activeCell="A2" sqref="A2"/>
    </sheetView>
  </sheetViews>
  <sheetFormatPr defaultRowHeight="14.4" x14ac:dyDescent="0.3"/>
  <cols>
    <col min="1" max="1" width="13.6640625" customWidth="1"/>
    <col min="2" max="2" width="12.33203125" customWidth="1"/>
    <col min="3" max="3" width="13.6640625" bestFit="1" customWidth="1"/>
    <col min="4" max="4" width="20.109375" bestFit="1" customWidth="1"/>
    <col min="5" max="5" width="12.33203125" bestFit="1" customWidth="1"/>
    <col min="6" max="6" width="18.44140625" bestFit="1" customWidth="1"/>
    <col min="7" max="7" width="24.44140625" bestFit="1" customWidth="1"/>
    <col min="8" max="8" width="19.44140625" bestFit="1" customWidth="1"/>
    <col min="9" max="9" width="27.33203125" bestFit="1" customWidth="1"/>
    <col min="10" max="10" width="10.6640625" bestFit="1" customWidth="1"/>
    <col min="11" max="11" width="13.5546875" bestFit="1" customWidth="1"/>
    <col min="12" max="12" width="12.88671875" bestFit="1" customWidth="1"/>
    <col min="13" max="13" width="6.6640625" bestFit="1" customWidth="1"/>
    <col min="14" max="14" width="14.44140625" bestFit="1" customWidth="1"/>
    <col min="15" max="15" width="4.33203125" bestFit="1" customWidth="1"/>
    <col min="16" max="16" width="11.5546875" bestFit="1" customWidth="1"/>
    <col min="17" max="17" width="16.33203125" bestFit="1" customWidth="1"/>
    <col min="18" max="18" width="15.6640625" bestFit="1" customWidth="1"/>
    <col min="19" max="19" width="19.44140625" bestFit="1" customWidth="1"/>
    <col min="20" max="20" width="15" bestFit="1" customWidth="1"/>
    <col min="21" max="21" width="13.5546875" bestFit="1" customWidth="1"/>
    <col min="22" max="22" width="26.6640625" bestFit="1" customWidth="1"/>
  </cols>
  <sheetData>
    <row r="1" spans="1:7" s="3" customFormat="1" x14ac:dyDescent="0.3">
      <c r="A1" s="3" t="s">
        <v>257</v>
      </c>
      <c r="B1" s="3" t="s">
        <v>47</v>
      </c>
      <c r="C1" s="3" t="s">
        <v>48</v>
      </c>
      <c r="D1" s="3" t="s">
        <v>226</v>
      </c>
      <c r="E1" s="3" t="s">
        <v>227</v>
      </c>
      <c r="F1" s="3" t="s">
        <v>228</v>
      </c>
      <c r="G1" s="3" t="s">
        <v>229</v>
      </c>
    </row>
    <row r="2" spans="1:7" x14ac:dyDescent="0.3">
      <c r="B2" t="s">
        <v>59</v>
      </c>
      <c r="D2" t="s">
        <v>123</v>
      </c>
      <c r="E2" t="s">
        <v>123</v>
      </c>
      <c r="F2" t="s">
        <v>123</v>
      </c>
      <c r="G2" t="s">
        <v>123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2FA9-CDEC-4AB0-A8F7-D7325500ADC2}">
  <dimension ref="A1:I3"/>
  <sheetViews>
    <sheetView workbookViewId="0">
      <selection activeCell="E5" sqref="E5"/>
    </sheetView>
  </sheetViews>
  <sheetFormatPr defaultRowHeight="14.4" x14ac:dyDescent="0.3"/>
  <cols>
    <col min="1" max="1" width="19.77734375" customWidth="1"/>
    <col min="2" max="2" width="17.109375" customWidth="1"/>
    <col min="3" max="3" width="13.6640625" bestFit="1" customWidth="1"/>
    <col min="4" max="4" width="24.88671875" bestFit="1" customWidth="1"/>
    <col min="5" max="5" width="16.109375" bestFit="1" customWidth="1"/>
    <col min="6" max="6" width="21.33203125" bestFit="1" customWidth="1"/>
    <col min="7" max="8" width="22.6640625" bestFit="1" customWidth="1"/>
    <col min="9" max="9" width="24.88671875" bestFit="1" customWidth="1"/>
  </cols>
  <sheetData>
    <row r="1" spans="1:9" s="3" customFormat="1" x14ac:dyDescent="0.3">
      <c r="A1" s="3" t="s">
        <v>257</v>
      </c>
      <c r="B1" s="3" t="s">
        <v>47</v>
      </c>
      <c r="C1" s="3" t="s">
        <v>48</v>
      </c>
      <c r="D1" s="3" t="s">
        <v>230</v>
      </c>
      <c r="E1" s="3" t="s">
        <v>231</v>
      </c>
      <c r="F1" s="3" t="s">
        <v>232</v>
      </c>
      <c r="G1" s="3" t="s">
        <v>233</v>
      </c>
      <c r="H1" s="3" t="s">
        <v>234</v>
      </c>
      <c r="I1" s="3" t="s">
        <v>235</v>
      </c>
    </row>
    <row r="2" spans="1:9" x14ac:dyDescent="0.3">
      <c r="A2" t="s">
        <v>253</v>
      </c>
      <c r="B2" t="s">
        <v>58</v>
      </c>
      <c r="F2" t="s">
        <v>123</v>
      </c>
      <c r="G2" t="s">
        <v>258</v>
      </c>
      <c r="H2" t="s">
        <v>258</v>
      </c>
      <c r="I2" t="s">
        <v>258</v>
      </c>
    </row>
    <row r="3" spans="1:9" x14ac:dyDescent="0.3">
      <c r="A3" t="s">
        <v>254</v>
      </c>
      <c r="B3" t="s">
        <v>58</v>
      </c>
      <c r="F3">
        <v>0</v>
      </c>
      <c r="G3" t="s">
        <v>258</v>
      </c>
      <c r="H3" t="s">
        <v>258</v>
      </c>
      <c r="I3" t="s">
        <v>258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E0F65-EF76-4E02-84A0-2A0A66596424}">
  <dimension ref="A1:K2"/>
  <sheetViews>
    <sheetView topLeftCell="B1" workbookViewId="0">
      <selection activeCell="D9" sqref="D9"/>
    </sheetView>
  </sheetViews>
  <sheetFormatPr defaultRowHeight="14.4" x14ac:dyDescent="0.3"/>
  <cols>
    <col min="1" max="1" width="7.88671875" bestFit="1" customWidth="1"/>
    <col min="2" max="2" width="13.6640625" bestFit="1" customWidth="1"/>
    <col min="3" max="3" width="31.5546875" bestFit="1" customWidth="1"/>
    <col min="4" max="4" width="30.6640625" bestFit="1" customWidth="1"/>
    <col min="5" max="5" width="31.109375" bestFit="1" customWidth="1"/>
    <col min="6" max="6" width="17.33203125" bestFit="1" customWidth="1"/>
    <col min="7" max="7" width="24.44140625" bestFit="1" customWidth="1"/>
    <col min="8" max="8" width="28" bestFit="1" customWidth="1"/>
    <col min="9" max="9" width="23" bestFit="1" customWidth="1"/>
    <col min="10" max="10" width="23.5546875" bestFit="1" customWidth="1"/>
    <col min="11" max="11" width="25.6640625" bestFit="1" customWidth="1"/>
  </cols>
  <sheetData>
    <row r="1" spans="1:11" s="3" customFormat="1" x14ac:dyDescent="0.3">
      <c r="A1" s="3" t="s">
        <v>47</v>
      </c>
      <c r="B1" s="3" t="s">
        <v>48</v>
      </c>
      <c r="C1" s="3" t="s">
        <v>236</v>
      </c>
      <c r="D1" s="3" t="s">
        <v>237</v>
      </c>
      <c r="E1" s="3" t="s">
        <v>238</v>
      </c>
      <c r="F1" s="3" t="s">
        <v>239</v>
      </c>
      <c r="G1" s="3" t="s">
        <v>240</v>
      </c>
      <c r="H1" s="3" t="s">
        <v>241</v>
      </c>
      <c r="I1" s="3" t="s">
        <v>242</v>
      </c>
      <c r="J1" s="3" t="s">
        <v>243</v>
      </c>
      <c r="K1" s="3" t="s">
        <v>244</v>
      </c>
    </row>
    <row r="2" spans="1:11" x14ac:dyDescent="0.3">
      <c r="C2" t="s">
        <v>123</v>
      </c>
      <c r="D2" t="s">
        <v>123</v>
      </c>
      <c r="E2" t="s">
        <v>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687306-5EE8-48FB-AAB3-C4073C5AFB00}">
  <ds:schemaRefs>
    <ds:schemaRef ds:uri="http://schemas.microsoft.com/DataMashup"/>
  </ds:schemaRefs>
</ds:datastoreItem>
</file>

<file path=docMetadata/LabelInfo.xml><?xml version="1.0" encoding="utf-8"?>
<clbl:labelList xmlns:clbl="http://schemas.microsoft.com/office/2020/mipLabelMetadata">
  <clbl:label id="{117b418d-fb21-416f-a85f-1e9ff725bf2c}" enabled="0" method="" siteId="{117b418d-fb21-416f-a85f-1e9ff725bf2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ASMRMetadata</vt:lpstr>
      <vt:lpstr>project</vt:lpstr>
      <vt:lpstr>dataManagement</vt:lpstr>
      <vt:lpstr>event</vt:lpstr>
      <vt:lpstr>location</vt:lpstr>
      <vt:lpstr>spatialScope</vt:lpstr>
      <vt:lpstr>taxonomicScope</vt:lpstr>
      <vt:lpstr>organismalScope</vt:lpstr>
      <vt:lpstr>materials</vt:lpstr>
      <vt:lpstr>methods</vt:lpstr>
      <vt:lpstr>samplingEffort</vt:lpstr>
      <vt:lpstr>safety</vt:lpstr>
      <vt:lpstr>costAnalysis</vt:lpstr>
      <vt:lpstr>materialSample</vt:lpstr>
      <vt:lpstr>digitalSample</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CAMPANINI CLAUDIA</dc:creator>
  <cp:keywords/>
  <dc:description/>
  <cp:lastModifiedBy>CAMPANINI CLAUDIA</cp:lastModifiedBy>
  <cp:revision/>
  <dcterms:created xsi:type="dcterms:W3CDTF">2026-07-28T23:14:11Z</dcterms:created>
  <dcterms:modified xsi:type="dcterms:W3CDTF">2026-09-20T09:22:42Z</dcterms:modified>
  <cp:category/>
  <cp:contentStatus/>
</cp:coreProperties>
</file>