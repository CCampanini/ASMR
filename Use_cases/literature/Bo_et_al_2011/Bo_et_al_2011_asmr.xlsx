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nivpm-my.sharepoint.com/personal/s1116344_pm_univpm_it/Documents/PhD/ASMR/Use_cases/Literature/"/>
    </mc:Choice>
  </mc:AlternateContent>
  <xr:revisionPtr revIDLastSave="882" documentId="8_{3759D2ED-E884-48E0-9DE7-EE8AE53D82EE}" xr6:coauthVersionLast="47" xr6:coauthVersionMax="47" xr10:uidLastSave="{77561520-9C3E-4D94-AB8B-84544DEABF04}"/>
  <bookViews>
    <workbookView xWindow="-108" yWindow="-108" windowWidth="23256" windowHeight="12456" activeTab="6" xr2:uid="{AFBFBA82-9AEE-4DB2-BCE9-4DEFE9217D81}"/>
  </bookViews>
  <sheets>
    <sheet name="README" sheetId="25" r:id="rId1"/>
    <sheet name="ASMRMetadata" sheetId="23" r:id="rId2"/>
    <sheet name="project" sheetId="2" r:id="rId3"/>
    <sheet name="dataManagement" sheetId="3" r:id="rId4"/>
    <sheet name="event" sheetId="17" r:id="rId5"/>
    <sheet name="location" sheetId="8" r:id="rId6"/>
    <sheet name="spatialScope" sheetId="9" r:id="rId7"/>
    <sheet name="taxonomicScope" sheetId="18" r:id="rId8"/>
    <sheet name="organismalScope" sheetId="19" r:id="rId9"/>
    <sheet name="materials" sheetId="11" r:id="rId10"/>
    <sheet name="methods" sheetId="10" r:id="rId11"/>
    <sheet name="samplingEffort" sheetId="24" r:id="rId12"/>
    <sheet name="safety" sheetId="14" r:id="rId13"/>
    <sheet name="costAnalysis" sheetId="16" r:id="rId14"/>
    <sheet name="materialSample" sheetId="12" r:id="rId15"/>
    <sheet name="digitalSample" sheetId="13" r:id="rId16"/>
    <sheet name="parameters" sheetId="15"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11B11E-CFBF-4F7D-BFF8-E0753FDA89A4}" keepAlive="1" name="Query - 2" description="Connection to the '2' query in the workbook." type="5" refreshedVersion="0" background="1" saveData="1">
    <dbPr connection="Provider=Microsoft.Mashup.OleDb.1;Data Source=$Workbook$;Location=2;Extended Properties=&quot;&quot;" command="SELECT * FROM [2]"/>
  </connection>
  <connection id="2" xr16:uid="{DF62A100-E1F6-4378-B5AE-4BC1F716893A}" keepAlive="1" name="Query - 2 (2)" description="Connection to the '2 (2)' query in the workbook." type="5" refreshedVersion="8" background="1" saveData="1">
    <dbPr connection="Provider=Microsoft.Mashup.OleDb.1;Data Source=$Workbook$;Location=&quot;2 (2)&quot;;Extended Properties=&quot;&quot;" command="SELECT * FROM [2 (2)]"/>
  </connection>
  <connection id="3" xr16:uid="{D58C4DC5-2D83-4DF7-BEA4-0E0459E86095}" keepAlive="1" name="Query - 3" description="Connection to the '3' query in the workbook." type="5" refreshedVersion="8" background="1" saveData="1">
    <dbPr connection="Provider=Microsoft.Mashup.OleDb.1;Data Source=$Workbook$;Location=3;Extended Properties=&quot;&quot;" command="SELECT * FROM [3]"/>
  </connection>
  <connection id="4" xr16:uid="{E894A3A5-4737-4D80-ADA7-F97DFD4BB724}" keepAlive="1" name="Query - data_management" description="Connection to the 'data_management' query in the workbook." type="5" refreshedVersion="8" background="1" saveData="1">
    <dbPr connection="Provider=Microsoft.Mashup.OleDb.1;Data Source=$Workbook$;Location=data_management;Extended Properties=&quot;&quot;" command="SELECT * FROM [data_management]"/>
  </connection>
  <connection id="5" xr16:uid="{A9E070EC-0C23-4930-91C1-0912284CE6A3}" keepAlive="1" name="Query - location_section" description="Connection to the 'location_section' query in the workbook." type="5" refreshedVersion="0" background="1">
    <dbPr connection="Provider=Microsoft.Mashup.OleDb.1;Data Source=$Workbook$;Location=location_section;Extended Properties=&quot;&quot;" command="SELECT * FROM [location_section]"/>
  </connection>
  <connection id="6" xr16:uid="{BA846266-29C7-4192-93A0-88F03DCB69FE}" keepAlive="1" name="Query - materials" description="Connection to the 'materials' query in the workbook." type="5" refreshedVersion="0" background="1" saveData="1">
    <dbPr connection="Provider=Microsoft.Mashup.OleDb.1;Data Source=$Workbook$;Location=materials;Extended Properties=&quot;&quot;" command="SELECT * FROM [materials]"/>
  </connection>
  <connection id="7" xr16:uid="{15AE6AF9-D4FA-4764-92E5-E05B22610137}" keepAlive="1" name="Query - project" description="Connection to the 'project' query in the workbook." type="5" refreshedVersion="8" background="1" saveData="1">
    <dbPr connection="Provider=Microsoft.Mashup.OleDb.1;Data Source=$Workbook$;Location=project;Extended Properties=&quot;&quot;" command="SELECT * FROM [project]"/>
  </connection>
  <connection id="8" xr16:uid="{773A8F14-E60B-4086-98CC-1D79FE33A4AA}" keepAlive="1" name="Query - scope2" description="Connection to the 'scope2' query in the workbook." type="5" refreshedVersion="0" background="1" saveData="1">
    <dbPr connection="Provider=Microsoft.Mashup.OleDb.1;Data Source=$Workbook$;Location=scope2;Extended Properties=&quot;&quot;" command="SELECT * FROM [scope2]"/>
  </connection>
</connections>
</file>

<file path=xl/sharedStrings.xml><?xml version="1.0" encoding="utf-8"?>
<sst xmlns="http://schemas.openxmlformats.org/spreadsheetml/2006/main" count="547" uniqueCount="281">
  <si>
    <t>ASMR_metadata_v0.1.1-dev</t>
  </si>
  <si>
    <t>Date/Time generated;</t>
  </si>
  <si>
    <t>01/08/2026 15:21:58,54</t>
  </si>
  <si>
    <t xml:space="preserve">This template encompasses al the terms included in the ASMR metadata list for visual-based marine studies. The list is not exhaustive and can be enriched according to the necessity of the metadata provider. </t>
  </si>
  <si>
    <t>Supporting external materials</t>
  </si>
  <si>
    <t>How to construct eventIDs - OBIS tutorial</t>
  </si>
  <si>
    <t>https://www.youtube.com/watch?v=Upt6LPJ0Bn8&amp;list=PLlgUwSvpCFS4TS7ZN0fhByj_3EBZ5lXbF&amp;index=1</t>
  </si>
  <si>
    <t>https://www.youtube.com/watch?v=jyy6QO_p7v8&amp;list=PLlgUwSvpCFS4TS7ZN0fhByj_3EBZ5lXbF&amp;index=4</t>
  </si>
  <si>
    <t>dataLifeCycleStageAtCompilation</t>
  </si>
  <si>
    <t>version</t>
  </si>
  <si>
    <t>MetadataDate</t>
  </si>
  <si>
    <t>metadataCreator</t>
  </si>
  <si>
    <t>metadataCreatorLiteral</t>
  </si>
  <si>
    <t>metadataProvider</t>
  </si>
  <si>
    <t>metadataProviderLiteral</t>
  </si>
  <si>
    <t>metadataProviderInvolvementInDataLifeCycle</t>
  </si>
  <si>
    <t>recordedBy</t>
  </si>
  <si>
    <t>recordedByID</t>
  </si>
  <si>
    <t>projectContact</t>
  </si>
  <si>
    <t>institutionCode</t>
  </si>
  <si>
    <t>institutionID</t>
  </si>
  <si>
    <t>projectTitle</t>
  </si>
  <si>
    <t>projectID</t>
  </si>
  <si>
    <t>parentProjectID</t>
  </si>
  <si>
    <t>license</t>
  </si>
  <si>
    <t>rightsHolder</t>
  </si>
  <si>
    <t>accessRights</t>
  </si>
  <si>
    <t>informationWithheld</t>
  </si>
  <si>
    <t>dataGeneralizations</t>
  </si>
  <si>
    <t>bibliographicCitation</t>
  </si>
  <si>
    <t>associated_resource</t>
  </si>
  <si>
    <t>code_repo</t>
  </si>
  <si>
    <t>eventID</t>
  </si>
  <si>
    <t>parentEventID</t>
  </si>
  <si>
    <t>eventRemarks</t>
  </si>
  <si>
    <t>eventDate</t>
  </si>
  <si>
    <t>eventDurationValue</t>
  </si>
  <si>
    <t>eventDurationUnit</t>
  </si>
  <si>
    <t>verbatimEventDate</t>
  </si>
  <si>
    <t>verbatimEventTime</t>
  </si>
  <si>
    <t>reportedWeather</t>
  </si>
  <si>
    <t>reportedExtremeConditions</t>
  </si>
  <si>
    <t>locationID</t>
  </si>
  <si>
    <t>verbatimLocality</t>
  </si>
  <si>
    <t>locality</t>
  </si>
  <si>
    <t>decimalLongitude</t>
  </si>
  <si>
    <t>decimalLatitude</t>
  </si>
  <si>
    <t>verbatimLongitude</t>
  </si>
  <si>
    <t>verbatimLatitude</t>
  </si>
  <si>
    <t>verbatimCoordinateSystem</t>
  </si>
  <si>
    <t>verbatimSRS</t>
  </si>
  <si>
    <t>footprintWKT</t>
  </si>
  <si>
    <t>verbatimSiteDescriptions</t>
  </si>
  <si>
    <t>verbatimSiteNames</t>
  </si>
  <si>
    <t>siteCount</t>
  </si>
  <si>
    <t>siteNestingDescription</t>
  </si>
  <si>
    <t>country</t>
  </si>
  <si>
    <t>countryCode</t>
  </si>
  <si>
    <t>ecoregionScheme</t>
  </si>
  <si>
    <t>ecoregionName</t>
  </si>
  <si>
    <t>ecoregionID</t>
  </si>
  <si>
    <t>geographicFeature</t>
  </si>
  <si>
    <t>marineZone</t>
  </si>
  <si>
    <t>verbatimGeomorphologicalContext</t>
  </si>
  <si>
    <t>physiographicContext</t>
  </si>
  <si>
    <t>morphologicalContext</t>
  </si>
  <si>
    <t>geomorphologicalContext</t>
  </si>
  <si>
    <t>verbatimHabitat</t>
  </si>
  <si>
    <t>habitat</t>
  </si>
  <si>
    <t>habitatClassificationScheme</t>
  </si>
  <si>
    <t>verbatimLithology</t>
  </si>
  <si>
    <t>lithology</t>
  </si>
  <si>
    <t>verbatimSubstrate</t>
  </si>
  <si>
    <t>substrate</t>
  </si>
  <si>
    <t>substrateOrigin</t>
  </si>
  <si>
    <t>substrateClassificationScheme</t>
  </si>
  <si>
    <t>verbatimConservationMeasure</t>
  </si>
  <si>
    <t>areaBasedProtectionMeasure</t>
  </si>
  <si>
    <t>areaBasedProtectionLevelValue</t>
  </si>
  <si>
    <t>areaBasedProtectionLevelScheme</t>
  </si>
  <si>
    <t>verbatimTargetScope</t>
  </si>
  <si>
    <t>geospatialScopeAreaValue</t>
  </si>
  <si>
    <t>geospatialScopeAreaUnit</t>
  </si>
  <si>
    <t>targetHabitatScope</t>
  </si>
  <si>
    <t>standardTargetHabitatScope</t>
  </si>
  <si>
    <t>excludedHabitatScope</t>
  </si>
  <si>
    <t>targetTaxonomicScope</t>
  </si>
  <si>
    <t>excludedTaxonomicScope</t>
  </si>
  <si>
    <t>taxonCompletenessProtocols</t>
  </si>
  <si>
    <t>taxonCompletenessReported</t>
  </si>
  <si>
    <t>isTaxonomicScopeFullyReported</t>
  </si>
  <si>
    <t>isAbsenceReported</t>
  </si>
  <si>
    <t>absentTaxa</t>
  </si>
  <si>
    <t>hasNonTargetTaxa</t>
  </si>
  <si>
    <t>nonTargetTaxa</t>
  </si>
  <si>
    <t>areNonTargetTaxaFullyReported</t>
  </si>
  <si>
    <t>targetLifeStageScope</t>
  </si>
  <si>
    <t>excludedLifeStageScope</t>
  </si>
  <si>
    <t>isLifeStageScopeFullyReported</t>
  </si>
  <si>
    <t>targetDegreeOfEstablishmentScope</t>
  </si>
  <si>
    <t>excludedDegreeOfEstablishmentScope</t>
  </si>
  <si>
    <t>isDegreeOfEstablishmentScopeFullyReported</t>
  </si>
  <si>
    <t>targetGrowthFormScope</t>
  </si>
  <si>
    <t>excludedGrowthFormScope</t>
  </si>
  <si>
    <t>isGrowthFormScopeFullyReported</t>
  </si>
  <si>
    <t>hasNonTargetOrganisms</t>
  </si>
  <si>
    <t>targetMobilityScope</t>
  </si>
  <si>
    <t>excludedMobilityScope</t>
  </si>
  <si>
    <t>isMobilityFullyReported</t>
  </si>
  <si>
    <t>organis</t>
  </si>
  <si>
    <t>samplingPlatform</t>
  </si>
  <si>
    <t>samplingPlatformModel</t>
  </si>
  <si>
    <t>divingGasMix</t>
  </si>
  <si>
    <t>underwaterPositioningSystem</t>
  </si>
  <si>
    <t>imageScaleReference</t>
  </si>
  <si>
    <t>verbatimImageScaleReference</t>
  </si>
  <si>
    <t>lightSystem</t>
  </si>
  <si>
    <t>cameraSystem</t>
  </si>
  <si>
    <t>batterySystem</t>
  </si>
  <si>
    <t>sensor</t>
  </si>
  <si>
    <t>verbatimSensor</t>
  </si>
  <si>
    <t>bait</t>
  </si>
  <si>
    <t>baitQuantity</t>
  </si>
  <si>
    <t>manipulatorArms</t>
  </si>
  <si>
    <t>sampleContainer</t>
  </si>
  <si>
    <t>otherFaunaAttraction</t>
  </si>
  <si>
    <t>armLengthValue</t>
  </si>
  <si>
    <t>armLengthUnit</t>
  </si>
  <si>
    <t>baitedPlatformCanisterModel</t>
  </si>
  <si>
    <t>protocolNames</t>
  </si>
  <si>
    <t>protocolDescriptions</t>
  </si>
  <si>
    <t>protocolReferences</t>
  </si>
  <si>
    <t>validationProtocolDescription</t>
  </si>
  <si>
    <t>hasMaterialSamples</t>
  </si>
  <si>
    <t>hasDigitalSamples</t>
  </si>
  <si>
    <t>sensorCalibration</t>
  </si>
  <si>
    <t>fieldOfView</t>
  </si>
  <si>
    <t>samplingPlatformNavigationSpeedValue</t>
  </si>
  <si>
    <t>samplingPlatformNavigationSpeedUnit</t>
  </si>
  <si>
    <t>cameraOrientation</t>
  </si>
  <si>
    <t>inventoryTypes</t>
  </si>
  <si>
    <t>isAbundanceReported</t>
  </si>
  <si>
    <t>isAbundanceCapReported</t>
  </si>
  <si>
    <t>abundanceCap</t>
  </si>
  <si>
    <t>isLeastSpecificTargetCategoryQuantityInclusive</t>
  </si>
  <si>
    <t>samplingPerformedBy</t>
  </si>
  <si>
    <t>isSamplingEffortReported</t>
  </si>
  <si>
    <t>samplingEffortValue</t>
  </si>
  <si>
    <t>samplingEffortUnit</t>
  </si>
  <si>
    <t>samplingEffortProtocol</t>
  </si>
  <si>
    <t>excludedSamplingEffortUnit</t>
  </si>
  <si>
    <t>excludedSamplingEffortUnitRationale</t>
  </si>
  <si>
    <t>totalAreaSampledValue</t>
  </si>
  <si>
    <t>totalAreaSampledUnit</t>
  </si>
  <si>
    <t>analyzedAreaValue</t>
  </si>
  <si>
    <t>analyzedAreaUnit</t>
  </si>
  <si>
    <t>spatialReplicates</t>
  </si>
  <si>
    <t>temporalReplicates</t>
  </si>
  <si>
    <t>surveyedTime</t>
  </si>
  <si>
    <t>analyzedTime</t>
  </si>
  <si>
    <t>protocolSafetyRisks</t>
  </si>
  <si>
    <t>protocolSafetyMeasures</t>
  </si>
  <si>
    <t>costAnalysisDescriptions</t>
  </si>
  <si>
    <t>costAnalysisUnit</t>
  </si>
  <si>
    <t>costPerCostAnalysisUnitValue</t>
  </si>
  <si>
    <t>costAnalysisCurrency</t>
  </si>
  <si>
    <t>personnelCostPerUnit</t>
  </si>
  <si>
    <t>materialCostPerUnit</t>
  </si>
  <si>
    <t>materialSampleTypes</t>
  </si>
  <si>
    <t>hasVouchers</t>
  </si>
  <si>
    <t>voucherInstitutions</t>
  </si>
  <si>
    <t>materialSampleReplicates</t>
  </si>
  <si>
    <t>image-area-square-meters</t>
  </si>
  <si>
    <t>image-resolution</t>
  </si>
  <si>
    <t>image-overlap-fraction</t>
  </si>
  <si>
    <t>image-curation-protocol</t>
  </si>
  <si>
    <t>image-annotation-labels</t>
  </si>
  <si>
    <t>image-annotation-creators</t>
  </si>
  <si>
    <t>inSituAbioticParametersCollected</t>
  </si>
  <si>
    <t>inSituAbioticParametersAnalyzed</t>
  </si>
  <si>
    <t>exSituAbioticParametersAnalyzed</t>
  </si>
  <si>
    <t>bioEcoParameters</t>
  </si>
  <si>
    <t>EssentialClimateVariables</t>
  </si>
  <si>
    <t>EssentialBiodiversityVariables</t>
  </si>
  <si>
    <t>EssentialOceanVariables</t>
  </si>
  <si>
    <t>ecosystemServicesName</t>
  </si>
  <si>
    <t>ecosystemServicesScheme</t>
  </si>
  <si>
    <t>How to create and format the Event table for Darwin Core - OBIS tutorial</t>
  </si>
  <si>
    <t>The templates were generated using the ASMR checklist version of;</t>
  </si>
  <si>
    <t>Some classes of ASMR metadata list (sheets) may not apply to the metadata record in question and their compilation can be skipped entirely (e.g. "digitalSample" if none were collected or costAnalysis if note perfomed or not reported)</t>
  </si>
  <si>
    <t>In this asmr_template, the terms listed in the "scope" sheet of asmr_schema_excel were split into "spatialScope", "taxonomicScope", "organismalScope" to ease the compilation</t>
  </si>
  <si>
    <t>MetadataTranslation [http://rdf-vocabulary.ddialliance.org/cv/LifecycleEventType/1.0.2/a99e082]</t>
  </si>
  <si>
    <t>2026-09-18T22:03Z</t>
  </si>
  <si>
    <t>https://orcid.org/0000-0002-4242-5862</t>
  </si>
  <si>
    <t>Claudia Campanini</t>
  </si>
  <si>
    <t>No</t>
  </si>
  <si>
    <t>https://creativecommons.org/licenses/by/4.0/</t>
  </si>
  <si>
    <t>open access [http://purl.org/coar/access_right/c_abf2]</t>
  </si>
  <si>
    <t>Bo, M., Bertolino, M., Borghini, M., Castellano, M., Covazzi Harriague, A., Di Camillo, C. G., ... &amp; Bavestrello, G. (2011). Characteristics of the mesophotic megabenthic assemblages of the Vercelli seamount (North Tyrrhenian Sea). PLoS One, 6(2), e16357.</t>
  </si>
  <si>
    <t>Not reported</t>
  </si>
  <si>
    <t>Not applicable</t>
  </si>
  <si>
    <t>Habitat generlized from original description to compile the asmr:standardHabitatValue, eco:targetHabitatScope, according to the asmr:habitatClassificationScheme, i.e. Interpretation Manual of Marine Habitat Types in the Mediterranean Sea (UNEP-MAP RAC/SPA, 2021). The standardized habitat and facies theoretically only applies to circalittoral coastal environments and not seamount, but the habitat described in the article more closely resemble the coastal coralligenous cliffs</t>
  </si>
  <si>
    <t>Not available</t>
  </si>
  <si>
    <t>10°54.43′E</t>
  </si>
  <si>
    <t>41°06.45′N</t>
  </si>
  <si>
    <t>Degrees Minutes</t>
  </si>
  <si>
    <t>mesophotic shallow peak of the Vercelli Seamount</t>
  </si>
  <si>
    <t xml:space="preserve">Vercelli Seamount </t>
  </si>
  <si>
    <t>IT</t>
  </si>
  <si>
    <t>Italy</t>
  </si>
  <si>
    <t>Marine Ecoregions of the World, MEOW (Spalding et al., 2007)</t>
  </si>
  <si>
    <t>Western Mediterranean</t>
  </si>
  <si>
    <t>http://marineregions.org/mrgid/21896</t>
  </si>
  <si>
    <t>Vercelli Seamount</t>
  </si>
  <si>
    <t>The exposed granites of the peak, the terrace-like benches of the slopes and the organogenic sand on the plateau are considered consequences of the emersion, and subsequent subsidence, that the pinnacle experienced during the Pliocenic 130 meter glacial-eustatic decrease of the sea level [19], [30]. The seamount has been, and still is, subjected to tectonic movements accompanied by hydrothermal activity responsible for the iron-manganese crust (up to 2 cm thick) found on the deep granites [19].</t>
  </si>
  <si>
    <t>Seamount [https://pid.geoscience.gov.au/def/voc/ga/SeabedGeomorphologyMorphology/seamount]</t>
  </si>
  <si>
    <t>The Vercelli Seamount is not heavily exploited by professional fishing. Nevertheless, some abandoned nets and lines were observed along the ROV track. Environments characterised by high biodiversity should be worthy of protection by international conservation programs.</t>
  </si>
  <si>
    <t xml:space="preserve">No </t>
  </si>
  <si>
    <t>Biogenic substrate [https://w3id.org/CMECS/CMECS_00000101] | Geologic substrate [https://w3id.org/CMECS/CMECS_00000389]</t>
  </si>
  <si>
    <t xml:space="preserve">https://w3id.org/CMECS/ </t>
  </si>
  <si>
    <t>Not collected</t>
  </si>
  <si>
    <t>dredge</t>
  </si>
  <si>
    <t xml:space="preserve">Observation-class ROV </t>
  </si>
  <si>
    <t>Bo2011VercelliSeamount</t>
  </si>
  <si>
    <t>Bo2011VercelliSeamount_NE</t>
  </si>
  <si>
    <t>Bo2011VercelliSeamount_SW</t>
  </si>
  <si>
    <t>Expedition</t>
  </si>
  <si>
    <t>Seamount flank survey</t>
  </si>
  <si>
    <t>Transect</t>
  </si>
  <si>
    <t>Bo2011VercelliSeamount_NE_70-80m</t>
  </si>
  <si>
    <t>Bo2011VercelliSeamount_NE_80-90m</t>
  </si>
  <si>
    <t>Bo2011VercelliSeamount_NE_60-70m</t>
  </si>
  <si>
    <t>Bo2011VercelliSeamount_NE_90-100m</t>
  </si>
  <si>
    <t>Bo2011VercelliSeamount_SW_60-70m</t>
  </si>
  <si>
    <t>Bo2011VercelliSeamount_SW_70-80m</t>
  </si>
  <si>
    <t>Bo2011VercelliSeamount_SW_80-90m</t>
  </si>
  <si>
    <t>Bo2011VercelliSeamount_SW_90-100m</t>
  </si>
  <si>
    <t>minimumSurveyedDepth</t>
  </si>
  <si>
    <t>maximumSurveyedDepth</t>
  </si>
  <si>
    <t>minimumAnalyzedDepth</t>
  </si>
  <si>
    <t>maximumAnalyzedDepth</t>
  </si>
  <si>
    <t>laser marker</t>
  </si>
  <si>
    <t>ROV Pluto (Gaymarine, Switzerland)</t>
  </si>
  <si>
    <t>The aim of this paper is to describe the megabenthic biodiversity of the mesophotic zone of the Vercelli Seamount (60–100 m) and to compare it with existing data concerning both other shallow seamounts and continental areas. Moreover this study aims to give account of the peculiar structure of the Vercelli's community distinguished into various assemblages defined by local hydrodynamic, geomorphologic and trophic characteristics.</t>
  </si>
  <si>
    <t>underwater acoustic tracking position system (HDR made by Gaymarine ultrashort baseline operating with a 30 kHz responder)</t>
  </si>
  <si>
    <t>two parallel laser beams (90° angle) providing a 10 cm scale for measuring the areas of the frames</t>
  </si>
  <si>
    <t>digital camera Nikon Coolpix 8700  | video camera (Sony DV 3CCD mod 950)</t>
  </si>
  <si>
    <t xml:space="preserve">Not reported </t>
  </si>
  <si>
    <t>depth sensor | compass</t>
  </si>
  <si>
    <t>NA</t>
  </si>
  <si>
    <t>extended inventory</t>
  </si>
  <si>
    <t>M2 [http://qudt.org/vocab/unit/M2]</t>
  </si>
  <si>
    <t>protocolID</t>
  </si>
  <si>
    <t>transect</t>
  </si>
  <si>
    <t>frame</t>
  </si>
  <si>
    <t xml:space="preserve">The density (in terms of specimens or colonies m−2) or covering (% estimation) of 11 conspicuous and recognizable megabenthic species (or species groups) were evaluated on 14 video frames randomly obtained for each video-transect, for a total of 98 frames. </t>
  </si>
  <si>
    <t>Bo2011RVUrania_dredge2009</t>
  </si>
  <si>
    <t>No extreme conditions</t>
  </si>
  <si>
    <t>wholeOrganism</t>
  </si>
  <si>
    <t>benthic cover | individual density | occurrence</t>
  </si>
  <si>
    <t>Species abundance | Community abundance</t>
  </si>
  <si>
    <t>Benthic Invertebrate Abundance and Distribution | Fish Abundance and Distribution</t>
  </si>
  <si>
    <t xml:space="preserve">The distribution of the taxa present in the study area was evaluated on seven horizontal video-transects (each one about 100 m long) recorded at seven depth ranges along the upper rocky portion of the mount (Fig. 2b), by an observer class Remotely Operated Vehicle, ROV Pluto (Gaymarine, Switzerland). The depth ranges of the transects were: 60–70 m (the TOP of the seamount), and 70–80 m, 80–90 m and 90–100 m respectively for the NE and SW sides. The 10 m wide depth ranges were selected a priori on the base of previous studies concerning distribution patterns of mesophotic benthic organisms [37].
The ROV was equipped with an underwater acoustic tracking position system (HDR made by Gaymarine ultrashort baseline operating with a 30 kHz responder), providing records of its track along the seabed. Additionally it had a depth sensor, a compass, and two parallel laser beams (90° angle) providing a 10 cm scale for measuring the areas of the frames (between 0.5–3 m2 each).
The ROV, moving at 1 m height from the seabed (about 2 m of visual field, corresponding to a total of 1400 m2 explored area), was equipped with a digital camera (Nikon Coolpix 8700, 8 megapixel) and a high definition video camera (Sony DV 3CCD mod 950). </t>
  </si>
  <si>
    <t>Video transect</t>
  </si>
  <si>
    <t>Benthic dredge sampling</t>
  </si>
  <si>
    <t xml:space="preserve">samples collected by dredging (dredge mouth 60 cm in diameter) on the seamount (60–100 m depth) </t>
  </si>
  <si>
    <t>No reported</t>
  </si>
  <si>
    <t>Marzia Bo | Marco Bertolino| Mireno Borghini| Michela Castellano| Anabella Covazzi Harriague| Cristina Gioia Di Camillo| GianPietro Gasparini| Cristina Misic| Paolo Povero| Antonio Pusceddu| Katrin Schroeder| Giorgio Bavestrello</t>
  </si>
  <si>
    <t>https://orcid.org/0000-0001-8400-6722 | https://orcid.org/0000-0003-3233-303X | https://orcid.org/0000-0002-5654-4731 | https://orcid.org/0000-0001-6101-0112 | https://orcid.org/0000-0003-0378-5395 | https://orcid.org/0000-0002-4031-8158 | https://orcid.org/0000-0002-2577-1800 | https://orcid.org/0000-0002-7637-4784 | https://orcid.org/0000-0002-5428-2344</t>
  </si>
  <si>
    <t>Marzia Bo</t>
  </si>
  <si>
    <t>The distribution of the taxa present in the study area was evaluated on seven horizontal video-transects (each one about 100 m long) recorded at seven depth ranges along the upper rocky portion of the mount (Fig. 2b), by an observer class Remotely Operated Vehicle, ROV Pluto (Gaymarine, Switzerland). The depth ranges of the transects were: 60–70 m (the TOP of the seamount), and 70–80 m, 80–90 m and 90–100 m respectively for the NE and SW sides</t>
  </si>
  <si>
    <t>dredge survey</t>
  </si>
  <si>
    <t>Not clear</t>
  </si>
  <si>
    <t>Examination of the whole video to get  a more complete list of the recorded species (and their relative abundance)</t>
  </si>
  <si>
    <t>Examination of the dredge material to get  a more complete list of the recorded species (and their relative abundance)</t>
  </si>
  <si>
    <t>Bo2011VercelliSeamount_videotransect</t>
  </si>
  <si>
    <t>The seamount summit showed a dense population of the kelp Laminaria rodriguezii (Fig. 3a–b) covering almost 80% of the substratum. The substratum free from the alga was colonised by encrusting sponges (Fig. 3c, 4). Many specimens of the orange crinoid Antedon mediterranea (on average 49,7 individuals m−2) occurred on the algal thalli together with dense aggregations of undetermined spirorbids (Fig. 3a–b).</t>
  </si>
  <si>
    <t>Bo2011VercelliSeamount_TOP</t>
  </si>
  <si>
    <t>On the rocky boundary close to the detritic bottom (90–100 m) of this flank the only large coral present was the octocoral Eunicella cavolinii, with an average density of 17.5 colonies m−2 and the more rare Paramuricea clavata (on average 1.3 colonies m−2)</t>
  </si>
  <si>
    <t>dominance of branched octocorals</t>
  </si>
  <si>
    <t>At all depths, the benthic assemblage settled on the northern side of the seamount was significantly different from that of the southern flank (pairwise comparison after PERMANOVA, P&lt;0.01 for all depths; Table S2). From the bottom to 80 m depth we recorded a very large number of colonies of the blue octocoral Paralcyonium spinulosum (up to 4.3 colonies m−2) found exclusively on this flank of the seamount (Fig. 3g). The branched yellow Alcyonium palmatum (Pallas, 1766) was occasionally observed. P. clavata and E. cavolinii were also present on the northern side but with densities (1.7 and 7.1 colonies m−2 respectively) significantly lower than on the southern sid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</si>
</sst>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14" fontId="0" fillId="0" borderId="0" xfId="0" applyNumberFormat="1"/>
    <xf numFmtId="0" fontId="0" fillId="0" borderId="0" xfId="0" applyAlignment="1">
      <alignment wrapText="1"/>
    </xf>
    <xf numFmtId="14" fontId="0" fillId="0" borderId="0" xfId="0" applyNumberFormat="1" applyAlignment="1">
      <alignment wrapText="1"/>
    </xf>
    <xf numFmtId="0" fontId="1" fillId="0" borderId="0" xfId="0" applyFont="1"/>
    <xf numFmtId="0" fontId="1" fillId="0" borderId="0" xfId="0" applyFont="1" applyAlignment="1">
      <alignment wrapText="1"/>
    </xf>
    <xf numFmtId="14" fontId="1" fillId="0" borderId="0" xfId="0" applyNumberFormat="1" applyFont="1"/>
    <xf numFmtId="0" fontId="2" fillId="0" borderId="0" xfId="1"/>
    <xf numFmtId="0" fontId="2" fillId="0" borderId="0" xfId="1" applyAlignment="1">
      <alignment wrapText="1"/>
    </xf>
    <xf numFmtId="0" fontId="0" fillId="0" borderId="0" xfId="0" applyAlignment="1">
      <alignment vertical="center" wrapText="1"/>
    </xf>
    <xf numFmtId="0" fontId="0" fillId="0" borderId="0" xfId="0" applyAlignment="1">
      <alignment vertical="center"/>
    </xf>
    <xf numFmtId="0" fontId="2" fillId="0" borderId="0" xfId="1" applyFill="1" applyAlignment="1">
      <alignment vertical="center"/>
    </xf>
    <xf numFmtId="0" fontId="2" fillId="0" borderId="0" xfId="1" applyAlignment="1">
      <alignment vertical="center"/>
    </xf>
    <xf numFmtId="0" fontId="0" fillId="0" borderId="0" xfId="0" applyFont="1"/>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youtube.com/watch?v=jyy6QO_p7v8&amp;list=PLlgUwSvpCFS4TS7ZN0fhByj_3EBZ5lXbF&amp;index=4" TargetMode="External"/><Relationship Id="rId1" Type="http://schemas.openxmlformats.org/officeDocument/2006/relationships/hyperlink" Target="https://www.youtube.com/watch?v=Upt6LPJ0Bn8&amp;list=PLlgUwSvpCFS4TS7ZN0fhByj_3EBZ5lXbF&amp;index=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orcid.org/0000-0002-4242-586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reativecommons.org/licenses/by/4.0/"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marineregions.org/mrgid/21896" TargetMode="External"/><Relationship Id="rId2" Type="http://schemas.openxmlformats.org/officeDocument/2006/relationships/hyperlink" Target="https://w3id.org/CMECS/" TargetMode="External"/><Relationship Id="rId1" Type="http://schemas.openxmlformats.org/officeDocument/2006/relationships/hyperlink" Target="http://marineregions.org/mrgid/218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8E403-26C4-4610-8B92-728F70E08A8F}">
  <dimension ref="A1:B14"/>
  <sheetViews>
    <sheetView workbookViewId="0">
      <selection activeCell="A12" sqref="A12"/>
    </sheetView>
  </sheetViews>
  <sheetFormatPr defaultRowHeight="14.4" x14ac:dyDescent="0.3"/>
  <cols>
    <col min="1" max="1" width="63.44140625" customWidth="1"/>
  </cols>
  <sheetData>
    <row r="1" spans="1:2" x14ac:dyDescent="0.3">
      <c r="A1" t="s">
        <v>188</v>
      </c>
    </row>
    <row r="2" spans="1:2" x14ac:dyDescent="0.3">
      <c r="A2" t="s">
        <v>0</v>
      </c>
    </row>
    <row r="4" spans="1:2" x14ac:dyDescent="0.3">
      <c r="A4" t="s">
        <v>1</v>
      </c>
    </row>
    <row r="5" spans="1:2" x14ac:dyDescent="0.3">
      <c r="A5" t="s">
        <v>2</v>
      </c>
    </row>
    <row r="7" spans="1:2" x14ac:dyDescent="0.3">
      <c r="A7" t="s">
        <v>3</v>
      </c>
    </row>
    <row r="8" spans="1:2" x14ac:dyDescent="0.3">
      <c r="A8" t="s">
        <v>189</v>
      </c>
    </row>
    <row r="10" spans="1:2" x14ac:dyDescent="0.3">
      <c r="A10" t="s">
        <v>190</v>
      </c>
    </row>
    <row r="12" spans="1:2" x14ac:dyDescent="0.3">
      <c r="A12" s="4" t="s">
        <v>4</v>
      </c>
    </row>
    <row r="13" spans="1:2" x14ac:dyDescent="0.3">
      <c r="A13" t="s">
        <v>5</v>
      </c>
      <c r="B13" s="7" t="s">
        <v>6</v>
      </c>
    </row>
    <row r="14" spans="1:2" x14ac:dyDescent="0.3">
      <c r="A14" t="s">
        <v>187</v>
      </c>
      <c r="B14" s="7" t="s">
        <v>7</v>
      </c>
    </row>
  </sheetData>
  <hyperlinks>
    <hyperlink ref="B13" r:id="rId1" xr:uid="{B26BB0D2-C5B3-49F9-9138-AF7155230C68}"/>
    <hyperlink ref="B14" r:id="rId2" xr:uid="{73FC8925-A8E9-4B80-8B6B-221738D89B0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14583-A080-403A-B4C6-D8FB2C75224F}">
  <dimension ref="A1:H2"/>
  <sheetViews>
    <sheetView topLeftCell="E1" workbookViewId="0">
      <selection activeCell="E2" sqref="E2"/>
    </sheetView>
  </sheetViews>
  <sheetFormatPr defaultRowHeight="14.4" x14ac:dyDescent="0.3"/>
  <cols>
    <col min="1" max="1" width="31.33203125" bestFit="1" customWidth="1"/>
    <col min="2" max="2" width="7.44140625" bestFit="1" customWidth="1"/>
    <col min="3" max="3" width="13.33203125" bestFit="1" customWidth="1"/>
    <col min="4" max="4" width="51.33203125" customWidth="1"/>
    <col min="5" max="5" width="51.77734375" style="2" customWidth="1"/>
    <col min="6" max="6" width="16.6640625" bestFit="1" customWidth="1"/>
    <col min="7" max="7" width="22.44140625" bestFit="1" customWidth="1"/>
    <col min="8" max="8" width="42.6640625" bestFit="1" customWidth="1"/>
  </cols>
  <sheetData>
    <row r="1" spans="1:8" s="4" customFormat="1" x14ac:dyDescent="0.3">
      <c r="A1" s="4" t="s">
        <v>8</v>
      </c>
      <c r="B1" s="4" t="s">
        <v>9</v>
      </c>
      <c r="C1" s="4" t="s">
        <v>10</v>
      </c>
      <c r="D1" s="4" t="s">
        <v>11</v>
      </c>
      <c r="E1" s="5" t="s">
        <v>12</v>
      </c>
      <c r="F1" s="4" t="s">
        <v>13</v>
      </c>
      <c r="G1" s="4" t="s">
        <v>14</v>
      </c>
      <c r="H1" s="4" t="s">
        <v>15</v>
      </c>
    </row>
    <row r="2" spans="1:8" ht="129.6" x14ac:dyDescent="0.3">
      <c r="A2" t="s">
        <v>191</v>
      </c>
      <c r="B2">
        <v>1</v>
      </c>
      <c r="C2" t="s">
        <v>192</v>
      </c>
      <c r="D2" s="2" t="s">
        <v>267</v>
      </c>
      <c r="E2" s="2" t="s">
        <v>268</v>
      </c>
      <c r="F2" t="s">
        <v>193</v>
      </c>
      <c r="G2" t="s">
        <v>194</v>
      </c>
      <c r="H2" t="s">
        <v>195</v>
      </c>
    </row>
  </sheetData>
  <hyperlinks>
    <hyperlink ref="F2" r:id="rId1" xr:uid="{17F79DDD-763B-4013-852C-139E87AEFEB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6A55F-209D-403D-BEE4-3BE65FE8E43A}">
  <dimension ref="A1:S9"/>
  <sheetViews>
    <sheetView topLeftCell="D1" workbookViewId="0">
      <selection activeCell="B2" sqref="B2"/>
    </sheetView>
  </sheetViews>
  <sheetFormatPr defaultRowHeight="14.4" x14ac:dyDescent="0.3"/>
  <cols>
    <col min="1" max="1" width="20.109375" style="2" customWidth="1"/>
    <col min="2" max="2" width="64.44140625" style="2" customWidth="1"/>
    <col min="3" max="5" width="20.109375" style="2" customWidth="1"/>
    <col min="6" max="6" width="54.77734375" style="2" customWidth="1"/>
    <col min="7" max="8" width="20.109375" style="2" customWidth="1"/>
    <col min="9" max="9" width="67.6640625" style="2" bestFit="1" customWidth="1"/>
    <col min="10" max="10" width="7.6640625" style="2" bestFit="1" customWidth="1"/>
    <col min="11" max="11" width="10.33203125" style="2" bestFit="1" customWidth="1"/>
    <col min="12" max="12" width="15.5546875" style="2" bestFit="1" customWidth="1"/>
    <col min="13" max="13" width="37.88671875" style="2" bestFit="1" customWidth="1"/>
    <col min="14" max="14" width="16.6640625" style="2" bestFit="1" customWidth="1"/>
    <col min="15" max="15" width="18.33203125" style="2" bestFit="1" customWidth="1"/>
    <col min="16" max="16" width="18" style="2" bestFit="1" customWidth="1"/>
    <col min="17" max="17" width="17.33203125" style="2" bestFit="1" customWidth="1"/>
    <col min="18" max="18" width="12.44140625" style="2" bestFit="1" customWidth="1"/>
    <col min="19" max="19" width="17.88671875" style="2" bestFit="1" customWidth="1"/>
  </cols>
  <sheetData>
    <row r="1" spans="1:19" s="5" customFormat="1" x14ac:dyDescent="0.3">
      <c r="A1" s="5" t="s">
        <v>16</v>
      </c>
      <c r="B1" s="5" t="s">
        <v>17</v>
      </c>
      <c r="C1" s="5" t="s">
        <v>18</v>
      </c>
      <c r="D1" s="5" t="s">
        <v>19</v>
      </c>
      <c r="E1" s="5" t="s">
        <v>20</v>
      </c>
      <c r="F1" s="5" t="s">
        <v>21</v>
      </c>
      <c r="G1" s="5" t="s">
        <v>22</v>
      </c>
      <c r="H1" s="5" t="s">
        <v>23</v>
      </c>
    </row>
    <row r="2" spans="1:19" ht="172.8" x14ac:dyDescent="0.3">
      <c r="A2" s="2" t="s">
        <v>267</v>
      </c>
      <c r="B2" s="2" t="s">
        <v>268</v>
      </c>
      <c r="C2" s="2" t="s">
        <v>269</v>
      </c>
      <c r="D2" s="2" t="s">
        <v>199</v>
      </c>
      <c r="E2" s="2" t="s">
        <v>199</v>
      </c>
      <c r="F2" s="2" t="s">
        <v>199</v>
      </c>
      <c r="G2" s="2" t="s">
        <v>199</v>
      </c>
      <c r="R2" s="3"/>
      <c r="S2" s="3"/>
    </row>
    <row r="3" spans="1:19" x14ac:dyDescent="0.3">
      <c r="R3" s="3"/>
      <c r="S3" s="3"/>
    </row>
    <row r="4" spans="1:19" x14ac:dyDescent="0.3">
      <c r="R4" s="3"/>
      <c r="S4" s="3"/>
    </row>
    <row r="5" spans="1:19" x14ac:dyDescent="0.3">
      <c r="R5" s="3"/>
      <c r="S5" s="3"/>
    </row>
    <row r="6" spans="1:19" x14ac:dyDescent="0.3">
      <c r="R6" s="3"/>
      <c r="S6" s="3"/>
    </row>
    <row r="7" spans="1:19" x14ac:dyDescent="0.3">
      <c r="R7" s="3"/>
      <c r="S7" s="3"/>
    </row>
    <row r="8" spans="1:19" x14ac:dyDescent="0.3">
      <c r="R8" s="3"/>
      <c r="S8" s="3"/>
    </row>
    <row r="9" spans="1:19" x14ac:dyDescent="0.3">
      <c r="R9" s="3"/>
      <c r="S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47F5E-8884-4A68-B59F-CCF84906ABBA}">
  <dimension ref="A1:S9"/>
  <sheetViews>
    <sheetView topLeftCell="D1" workbookViewId="0">
      <selection activeCell="B8" sqref="B8"/>
    </sheetView>
  </sheetViews>
  <sheetFormatPr defaultRowHeight="14.4" x14ac:dyDescent="0.3"/>
  <cols>
    <col min="1" max="1" width="20" customWidth="1"/>
    <col min="2" max="2" width="37.109375" customWidth="1"/>
    <col min="3" max="3" width="12.44140625" style="2" bestFit="1" customWidth="1"/>
    <col min="4" max="4" width="19.5546875" style="2" bestFit="1" customWidth="1"/>
    <col min="5" max="5" width="64.5546875" customWidth="1"/>
    <col min="6" max="6" width="37.44140625" customWidth="1"/>
    <col min="7" max="7" width="19.33203125" bestFit="1" customWidth="1"/>
    <col min="8" max="8" width="18" customWidth="1"/>
    <col min="9" max="9" width="73.5546875" bestFit="1" customWidth="1"/>
    <col min="11" max="11" width="10.33203125" bestFit="1" customWidth="1"/>
    <col min="12" max="12" width="15.5546875" bestFit="1" customWidth="1"/>
    <col min="13" max="13" width="42.33203125" bestFit="1" customWidth="1"/>
    <col min="14" max="14" width="16.6640625" bestFit="1" customWidth="1"/>
    <col min="15" max="15" width="18.33203125" bestFit="1" customWidth="1"/>
    <col min="16" max="16" width="18" bestFit="1" customWidth="1"/>
    <col min="17" max="17" width="17.33203125" bestFit="1" customWidth="1"/>
    <col min="18" max="18" width="12.44140625" bestFit="1" customWidth="1"/>
    <col min="19" max="19" width="17" bestFit="1" customWidth="1"/>
  </cols>
  <sheetData>
    <row r="1" spans="1:19" s="4" customFormat="1" x14ac:dyDescent="0.3">
      <c r="A1" s="4" t="s">
        <v>24</v>
      </c>
      <c r="B1" s="4" t="s">
        <v>25</v>
      </c>
      <c r="C1" s="5" t="s">
        <v>26</v>
      </c>
      <c r="D1" s="5" t="s">
        <v>27</v>
      </c>
      <c r="E1" s="4" t="s">
        <v>28</v>
      </c>
      <c r="F1" s="4" t="s">
        <v>29</v>
      </c>
      <c r="G1" s="4" t="s">
        <v>30</v>
      </c>
      <c r="H1" s="4" t="s">
        <v>31</v>
      </c>
      <c r="R1" s="6"/>
      <c r="S1" s="6"/>
    </row>
    <row r="2" spans="1:19" ht="100.8" x14ac:dyDescent="0.3">
      <c r="A2" s="8" t="s">
        <v>196</v>
      </c>
      <c r="B2" t="s">
        <v>272</v>
      </c>
      <c r="C2" s="2" t="s">
        <v>197</v>
      </c>
      <c r="D2" s="2" t="s">
        <v>200</v>
      </c>
      <c r="E2" s="2" t="s">
        <v>201</v>
      </c>
      <c r="F2" s="2" t="s">
        <v>198</v>
      </c>
      <c r="G2" s="2" t="s">
        <v>202</v>
      </c>
      <c r="H2" s="2" t="s">
        <v>202</v>
      </c>
      <c r="R2" s="1"/>
      <c r="S2" s="1"/>
    </row>
    <row r="3" spans="1:19" x14ac:dyDescent="0.3">
      <c r="R3" s="1"/>
      <c r="S3" s="1"/>
    </row>
    <row r="4" spans="1:19" x14ac:dyDescent="0.3">
      <c r="R4" s="1"/>
      <c r="S4" s="1"/>
    </row>
    <row r="5" spans="1:19" x14ac:dyDescent="0.3">
      <c r="R5" s="1"/>
      <c r="S5" s="1"/>
    </row>
    <row r="6" spans="1:19" x14ac:dyDescent="0.3">
      <c r="R6" s="1"/>
      <c r="S6" s="1"/>
    </row>
    <row r="7" spans="1:19" x14ac:dyDescent="0.3">
      <c r="R7" s="1"/>
      <c r="S7" s="1"/>
    </row>
    <row r="8" spans="1:19" x14ac:dyDescent="0.3">
      <c r="R8" s="1"/>
      <c r="S8" s="1"/>
    </row>
    <row r="9" spans="1:19" x14ac:dyDescent="0.3">
      <c r="R9" s="1"/>
      <c r="S9" s="1"/>
    </row>
  </sheetData>
  <hyperlinks>
    <hyperlink ref="A2" r:id="rId1" xr:uid="{F0354AE8-845D-424D-AEE6-CD921185E69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DC85F-3A32-47EA-B2E0-CFC389B02588}">
  <dimension ref="A1:K13"/>
  <sheetViews>
    <sheetView topLeftCell="D1" workbookViewId="0">
      <selection activeCell="D14" sqref="D14"/>
    </sheetView>
  </sheetViews>
  <sheetFormatPr defaultRowHeight="14.4" x14ac:dyDescent="0.3"/>
  <cols>
    <col min="1" max="1" width="36.6640625" customWidth="1"/>
    <col min="2" max="2" width="25.6640625" customWidth="1"/>
    <col min="3" max="3" width="13.6640625" bestFit="1" customWidth="1"/>
    <col min="4" max="4" width="21" customWidth="1"/>
    <col min="5" max="5" width="12.77734375" customWidth="1"/>
    <col min="6" max="6" width="18.6640625" bestFit="1" customWidth="1"/>
    <col min="7" max="7" width="17.44140625" bestFit="1" customWidth="1"/>
    <col min="8" max="9" width="18.33203125" bestFit="1" customWidth="1"/>
    <col min="10" max="10" width="16.33203125" bestFit="1" customWidth="1"/>
    <col min="11" max="11" width="26.33203125" bestFit="1" customWidth="1"/>
  </cols>
  <sheetData>
    <row r="1" spans="1:11" s="4" customFormat="1" x14ac:dyDescent="0.3">
      <c r="A1" s="4" t="s">
        <v>32</v>
      </c>
      <c r="C1" s="4" t="s">
        <v>33</v>
      </c>
      <c r="D1" s="4" t="s">
        <v>34</v>
      </c>
      <c r="E1" s="4" t="s">
        <v>35</v>
      </c>
      <c r="F1" s="4" t="s">
        <v>36</v>
      </c>
      <c r="G1" s="4" t="s">
        <v>37</v>
      </c>
      <c r="H1" s="4" t="s">
        <v>38</v>
      </c>
      <c r="I1" s="4" t="s">
        <v>39</v>
      </c>
      <c r="J1" s="4" t="s">
        <v>40</v>
      </c>
      <c r="K1" s="4" t="s">
        <v>41</v>
      </c>
    </row>
    <row r="2" spans="1:11" x14ac:dyDescent="0.3">
      <c r="A2" t="s">
        <v>223</v>
      </c>
      <c r="D2" t="s">
        <v>226</v>
      </c>
      <c r="E2" t="s">
        <v>199</v>
      </c>
      <c r="F2" t="s">
        <v>199</v>
      </c>
      <c r="G2" t="s">
        <v>199</v>
      </c>
      <c r="H2" t="s">
        <v>199</v>
      </c>
      <c r="I2" t="s">
        <v>199</v>
      </c>
      <c r="J2" t="s">
        <v>199</v>
      </c>
      <c r="K2" t="s">
        <v>257</v>
      </c>
    </row>
    <row r="3" spans="1:11" x14ac:dyDescent="0.3">
      <c r="A3" t="s">
        <v>224</v>
      </c>
      <c r="B3" t="s">
        <v>223</v>
      </c>
      <c r="D3" t="s">
        <v>227</v>
      </c>
    </row>
    <row r="4" spans="1:11" x14ac:dyDescent="0.3">
      <c r="A4" t="s">
        <v>225</v>
      </c>
      <c r="B4" t="s">
        <v>223</v>
      </c>
      <c r="D4" t="s">
        <v>227</v>
      </c>
    </row>
    <row r="5" spans="1:11" x14ac:dyDescent="0.3">
      <c r="A5" t="s">
        <v>231</v>
      </c>
      <c r="B5" t="s">
        <v>224</v>
      </c>
      <c r="D5" t="s">
        <v>228</v>
      </c>
    </row>
    <row r="6" spans="1:11" x14ac:dyDescent="0.3">
      <c r="A6" t="s">
        <v>229</v>
      </c>
      <c r="B6" t="s">
        <v>224</v>
      </c>
    </row>
    <row r="7" spans="1:11" x14ac:dyDescent="0.3">
      <c r="A7" t="s">
        <v>230</v>
      </c>
      <c r="B7" t="s">
        <v>224</v>
      </c>
    </row>
    <row r="8" spans="1:11" x14ac:dyDescent="0.3">
      <c r="A8" t="s">
        <v>232</v>
      </c>
      <c r="B8" t="s">
        <v>224</v>
      </c>
    </row>
    <row r="9" spans="1:11" x14ac:dyDescent="0.3">
      <c r="A9" t="s">
        <v>233</v>
      </c>
      <c r="B9" t="s">
        <v>225</v>
      </c>
    </row>
    <row r="10" spans="1:11" x14ac:dyDescent="0.3">
      <c r="A10" t="s">
        <v>234</v>
      </c>
      <c r="B10" t="s">
        <v>225</v>
      </c>
    </row>
    <row r="11" spans="1:11" x14ac:dyDescent="0.3">
      <c r="A11" t="s">
        <v>235</v>
      </c>
      <c r="B11" t="s">
        <v>225</v>
      </c>
    </row>
    <row r="12" spans="1:11" x14ac:dyDescent="0.3">
      <c r="A12" t="s">
        <v>236</v>
      </c>
      <c r="B12" t="s">
        <v>225</v>
      </c>
    </row>
    <row r="13" spans="1:11" x14ac:dyDescent="0.3">
      <c r="A13" t="s">
        <v>256</v>
      </c>
      <c r="D13" t="s">
        <v>271</v>
      </c>
      <c r="E13">
        <v>2009</v>
      </c>
      <c r="F13" t="s">
        <v>199</v>
      </c>
      <c r="G13" t="s">
        <v>199</v>
      </c>
      <c r="H13" t="s">
        <v>199</v>
      </c>
      <c r="I13" t="s">
        <v>199</v>
      </c>
      <c r="J13" t="s">
        <v>199</v>
      </c>
      <c r="K13" t="s">
        <v>199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4C943-4A7B-47CD-9E4E-7CCFC8CDBB13}">
  <dimension ref="A1:AR13"/>
  <sheetViews>
    <sheetView workbookViewId="0">
      <pane xSplit="1" ySplit="1" topLeftCell="B4" activePane="bottomRight" state="frozen"/>
      <selection pane="topRight" activeCell="B1" sqref="B1"/>
      <selection pane="bottomLeft" activeCell="A2" sqref="A2"/>
      <selection pane="bottomRight" activeCell="AF4" sqref="AF4"/>
    </sheetView>
  </sheetViews>
  <sheetFormatPr defaultRowHeight="14.4" x14ac:dyDescent="0.3"/>
  <cols>
    <col min="1" max="1" width="37.33203125" customWidth="1"/>
    <col min="2" max="2" width="13.6640625" bestFit="1" customWidth="1"/>
    <col min="3" max="3" width="10" bestFit="1" customWidth="1"/>
    <col min="4" max="4" width="15.6640625" bestFit="1" customWidth="1"/>
    <col min="5" max="5" width="13.33203125" customWidth="1"/>
    <col min="6" max="6" width="16.88671875" bestFit="1" customWidth="1"/>
    <col min="7" max="7" width="15.33203125" bestFit="1" customWidth="1"/>
    <col min="8" max="8" width="17.6640625" bestFit="1" customWidth="1"/>
    <col min="9" max="9" width="16.109375" bestFit="1" customWidth="1"/>
    <col min="10" max="10" width="25.6640625" bestFit="1" customWidth="1"/>
    <col min="11" max="11" width="12.33203125" bestFit="1" customWidth="1"/>
    <col min="12" max="12" width="12.6640625" bestFit="1" customWidth="1"/>
    <col min="13" max="16" width="12.6640625" customWidth="1"/>
    <col min="17" max="17" width="23.88671875" bestFit="1" customWidth="1"/>
    <col min="18" max="19" width="18.5546875" customWidth="1"/>
    <col min="20" max="20" width="36.21875" customWidth="1"/>
    <col min="21" max="21" width="7.6640625" bestFit="1" customWidth="1"/>
    <col min="22" max="22" width="12.33203125" bestFit="1" customWidth="1"/>
    <col min="23" max="23" width="17.109375" bestFit="1" customWidth="1"/>
    <col min="24" max="24" width="15" bestFit="1" customWidth="1"/>
    <col min="25" max="25" width="11.6640625" bestFit="1" customWidth="1"/>
    <col min="26" max="26" width="17.44140625" bestFit="1" customWidth="1"/>
    <col min="27" max="27" width="11.33203125" bestFit="1" customWidth="1"/>
    <col min="28" max="28" width="32.6640625" bestFit="1" customWidth="1"/>
    <col min="29" max="29" width="20.5546875" bestFit="1" customWidth="1"/>
    <col min="30" max="30" width="21" bestFit="1" customWidth="1"/>
    <col min="31" max="31" width="24.109375" bestFit="1" customWidth="1"/>
    <col min="32" max="32" width="42" customWidth="1"/>
    <col min="33" max="33" width="21.33203125" customWidth="1"/>
    <col min="34" max="34" width="26.6640625" bestFit="1" customWidth="1"/>
    <col min="35" max="35" width="49.21875" style="2" customWidth="1"/>
    <col min="36" max="36" width="8.5546875" bestFit="1" customWidth="1"/>
    <col min="37" max="37" width="17.44140625" bestFit="1" customWidth="1"/>
    <col min="38" max="38" width="9.33203125" bestFit="1" customWidth="1"/>
    <col min="39" max="39" width="24.21875" style="2" customWidth="1"/>
    <col min="40" max="40" width="29.109375" bestFit="1" customWidth="1"/>
    <col min="41" max="41" width="57.44140625" style="2" customWidth="1"/>
    <col min="42" max="42" width="27.33203125" bestFit="1" customWidth="1"/>
    <col min="43" max="43" width="29.44140625" bestFit="1" customWidth="1"/>
    <col min="44" max="44" width="31.6640625" bestFit="1" customWidth="1"/>
  </cols>
  <sheetData>
    <row r="1" spans="1:44" s="4" customFormat="1" x14ac:dyDescent="0.3">
      <c r="A1" s="4" t="s">
        <v>32</v>
      </c>
      <c r="B1" s="4" t="s">
        <v>33</v>
      </c>
      <c r="C1" s="4" t="s">
        <v>42</v>
      </c>
      <c r="D1" s="4" t="s">
        <v>43</v>
      </c>
      <c r="E1" s="4" t="s">
        <v>44</v>
      </c>
      <c r="F1" s="4" t="s">
        <v>45</v>
      </c>
      <c r="G1" s="4" t="s">
        <v>46</v>
      </c>
      <c r="H1" s="4" t="s">
        <v>47</v>
      </c>
      <c r="I1" s="4" t="s">
        <v>48</v>
      </c>
      <c r="J1" s="4" t="s">
        <v>49</v>
      </c>
      <c r="K1" s="4" t="s">
        <v>50</v>
      </c>
      <c r="L1" s="4" t="s">
        <v>51</v>
      </c>
      <c r="M1" s="4" t="s">
        <v>237</v>
      </c>
      <c r="N1" s="4" t="s">
        <v>238</v>
      </c>
      <c r="O1" s="4" t="s">
        <v>239</v>
      </c>
      <c r="P1" s="4" t="s">
        <v>240</v>
      </c>
      <c r="Q1" s="4" t="s">
        <v>52</v>
      </c>
      <c r="R1" s="4" t="s">
        <v>53</v>
      </c>
      <c r="S1" s="4" t="s">
        <v>54</v>
      </c>
      <c r="T1" s="4" t="s">
        <v>55</v>
      </c>
      <c r="U1" s="4" t="s">
        <v>56</v>
      </c>
      <c r="V1" s="4" t="s">
        <v>57</v>
      </c>
      <c r="W1" s="4" t="s">
        <v>58</v>
      </c>
      <c r="X1" s="4" t="s">
        <v>59</v>
      </c>
      <c r="Y1" s="4" t="s">
        <v>60</v>
      </c>
      <c r="Z1" s="4" t="s">
        <v>61</v>
      </c>
      <c r="AA1" s="4" t="s">
        <v>62</v>
      </c>
      <c r="AB1" s="4" t="s">
        <v>63</v>
      </c>
      <c r="AC1" s="4" t="s">
        <v>64</v>
      </c>
      <c r="AD1" s="4" t="s">
        <v>65</v>
      </c>
      <c r="AE1" s="4" t="s">
        <v>66</v>
      </c>
      <c r="AF1" s="4" t="s">
        <v>67</v>
      </c>
      <c r="AG1" s="4" t="s">
        <v>68</v>
      </c>
      <c r="AH1" s="4" t="s">
        <v>69</v>
      </c>
      <c r="AI1" s="5" t="s">
        <v>70</v>
      </c>
      <c r="AJ1" s="4" t="s">
        <v>71</v>
      </c>
      <c r="AK1" s="4" t="s">
        <v>72</v>
      </c>
      <c r="AL1" s="4" t="s">
        <v>73</v>
      </c>
      <c r="AM1" s="5" t="s">
        <v>74</v>
      </c>
      <c r="AN1" s="4" t="s">
        <v>75</v>
      </c>
      <c r="AO1" s="5" t="s">
        <v>76</v>
      </c>
      <c r="AP1" s="4" t="s">
        <v>77</v>
      </c>
      <c r="AQ1" s="4" t="s">
        <v>78</v>
      </c>
      <c r="AR1" s="4" t="s">
        <v>79</v>
      </c>
    </row>
    <row r="2" spans="1:44" ht="172.8" x14ac:dyDescent="0.3">
      <c r="A2" t="s">
        <v>223</v>
      </c>
      <c r="F2" s="9">
        <v>10.907166999999999</v>
      </c>
      <c r="G2" s="9">
        <v>41.107500000000002</v>
      </c>
      <c r="H2" s="9" t="s">
        <v>203</v>
      </c>
      <c r="I2" s="9" t="s">
        <v>204</v>
      </c>
      <c r="J2" s="10" t="s">
        <v>205</v>
      </c>
      <c r="L2" s="9" t="s">
        <v>202</v>
      </c>
      <c r="M2" s="10"/>
      <c r="N2" s="10"/>
      <c r="O2" s="10"/>
      <c r="P2" s="10"/>
      <c r="Q2" s="9" t="s">
        <v>206</v>
      </c>
      <c r="R2" s="9" t="s">
        <v>207</v>
      </c>
      <c r="S2">
        <v>8</v>
      </c>
      <c r="T2" s="2" t="s">
        <v>270</v>
      </c>
      <c r="U2" s="9" t="s">
        <v>209</v>
      </c>
      <c r="V2" s="10" t="s">
        <v>208</v>
      </c>
      <c r="W2" s="10" t="s">
        <v>210</v>
      </c>
      <c r="X2" s="10" t="s">
        <v>211</v>
      </c>
      <c r="Y2" s="11" t="s">
        <v>212</v>
      </c>
      <c r="Z2" s="10" t="s">
        <v>213</v>
      </c>
      <c r="AE2" s="2" t="s">
        <v>215</v>
      </c>
      <c r="AI2" s="2" t="s">
        <v>214</v>
      </c>
      <c r="AM2" s="9" t="s">
        <v>218</v>
      </c>
      <c r="AN2" s="12" t="s">
        <v>219</v>
      </c>
      <c r="AO2" s="2" t="s">
        <v>216</v>
      </c>
      <c r="AP2" t="s">
        <v>217</v>
      </c>
      <c r="AQ2" t="s">
        <v>200</v>
      </c>
      <c r="AR2" t="s">
        <v>200</v>
      </c>
    </row>
    <row r="3" spans="1:44" ht="129.6" x14ac:dyDescent="0.3">
      <c r="A3" t="s">
        <v>277</v>
      </c>
      <c r="B3" t="s">
        <v>223</v>
      </c>
      <c r="F3" s="9"/>
      <c r="G3" s="9"/>
      <c r="H3" s="9"/>
      <c r="I3" s="9"/>
      <c r="J3" s="10"/>
      <c r="L3" s="9"/>
      <c r="M3" s="10">
        <v>60</v>
      </c>
      <c r="N3" s="10">
        <v>70</v>
      </c>
      <c r="O3" s="10">
        <v>60</v>
      </c>
      <c r="P3" s="10">
        <v>70</v>
      </c>
      <c r="Q3" s="9"/>
      <c r="R3" s="9"/>
      <c r="T3" s="2"/>
      <c r="U3" s="9"/>
      <c r="V3" s="10"/>
      <c r="W3" s="10"/>
      <c r="X3" s="10"/>
      <c r="Y3" s="11"/>
      <c r="Z3" s="10"/>
      <c r="AE3" s="2"/>
      <c r="AF3" s="2" t="s">
        <v>276</v>
      </c>
      <c r="AM3" s="9"/>
      <c r="AN3" s="12"/>
    </row>
    <row r="4" spans="1:44" ht="201.6" x14ac:dyDescent="0.3">
      <c r="A4" t="s">
        <v>224</v>
      </c>
      <c r="B4" t="s">
        <v>223</v>
      </c>
      <c r="M4">
        <v>70</v>
      </c>
      <c r="N4">
        <v>100</v>
      </c>
      <c r="AF4" s="2" t="s">
        <v>280</v>
      </c>
    </row>
    <row r="5" spans="1:44" x14ac:dyDescent="0.3">
      <c r="A5" t="s">
        <v>225</v>
      </c>
      <c r="B5" t="s">
        <v>223</v>
      </c>
      <c r="M5">
        <v>70</v>
      </c>
      <c r="N5">
        <v>100</v>
      </c>
    </row>
    <row r="6" spans="1:44" x14ac:dyDescent="0.3">
      <c r="A6" t="s">
        <v>229</v>
      </c>
      <c r="B6" t="s">
        <v>224</v>
      </c>
      <c r="O6">
        <v>70</v>
      </c>
      <c r="P6">
        <v>80</v>
      </c>
    </row>
    <row r="7" spans="1:44" x14ac:dyDescent="0.3">
      <c r="A7" t="s">
        <v>230</v>
      </c>
      <c r="B7" t="s">
        <v>224</v>
      </c>
      <c r="O7">
        <v>80</v>
      </c>
      <c r="P7">
        <v>90</v>
      </c>
    </row>
    <row r="8" spans="1:44" x14ac:dyDescent="0.3">
      <c r="A8" t="s">
        <v>232</v>
      </c>
      <c r="B8" t="s">
        <v>224</v>
      </c>
      <c r="O8">
        <v>90</v>
      </c>
      <c r="P8">
        <v>100</v>
      </c>
    </row>
    <row r="9" spans="1:44" x14ac:dyDescent="0.3">
      <c r="A9" t="s">
        <v>234</v>
      </c>
      <c r="B9" t="s">
        <v>225</v>
      </c>
      <c r="O9">
        <v>70</v>
      </c>
      <c r="P9">
        <v>80</v>
      </c>
      <c r="AF9" t="s">
        <v>279</v>
      </c>
    </row>
    <row r="10" spans="1:44" x14ac:dyDescent="0.3">
      <c r="A10" t="s">
        <v>235</v>
      </c>
      <c r="B10" t="s">
        <v>225</v>
      </c>
      <c r="O10">
        <v>80</v>
      </c>
      <c r="P10">
        <v>90</v>
      </c>
      <c r="AF10" t="s">
        <v>279</v>
      </c>
    </row>
    <row r="11" spans="1:44" ht="86.4" x14ac:dyDescent="0.3">
      <c r="A11" t="s">
        <v>236</v>
      </c>
      <c r="B11" t="s">
        <v>225</v>
      </c>
      <c r="O11">
        <v>90</v>
      </c>
      <c r="P11">
        <v>100</v>
      </c>
      <c r="AF11" s="2" t="s">
        <v>278</v>
      </c>
    </row>
    <row r="12" spans="1:44" ht="72" x14ac:dyDescent="0.3">
      <c r="A12" t="s">
        <v>256</v>
      </c>
      <c r="F12" t="s">
        <v>249</v>
      </c>
      <c r="G12" t="s">
        <v>249</v>
      </c>
      <c r="H12" t="s">
        <v>199</v>
      </c>
      <c r="I12" t="s">
        <v>199</v>
      </c>
      <c r="J12" t="s">
        <v>199</v>
      </c>
      <c r="M12">
        <v>60</v>
      </c>
      <c r="N12">
        <v>100</v>
      </c>
      <c r="O12">
        <v>60</v>
      </c>
      <c r="P12">
        <v>100</v>
      </c>
      <c r="R12" s="9" t="s">
        <v>207</v>
      </c>
      <c r="S12" t="s">
        <v>199</v>
      </c>
      <c r="T12" t="s">
        <v>199</v>
      </c>
      <c r="U12" s="9" t="s">
        <v>209</v>
      </c>
      <c r="V12" s="10" t="s">
        <v>208</v>
      </c>
      <c r="W12" s="10" t="s">
        <v>210</v>
      </c>
      <c r="X12" s="10" t="s">
        <v>211</v>
      </c>
      <c r="Y12" s="11" t="s">
        <v>212</v>
      </c>
      <c r="Z12" s="10" t="s">
        <v>213</v>
      </c>
      <c r="AE12" s="2" t="s">
        <v>215</v>
      </c>
      <c r="AF12" t="s">
        <v>199</v>
      </c>
      <c r="AG12" t="s">
        <v>199</v>
      </c>
      <c r="AH12" t="s">
        <v>200</v>
      </c>
      <c r="AI12" s="2" t="s">
        <v>199</v>
      </c>
      <c r="AJ12" s="2" t="s">
        <v>199</v>
      </c>
      <c r="AK12" s="2" t="s">
        <v>199</v>
      </c>
      <c r="AM12" s="2" t="s">
        <v>199</v>
      </c>
      <c r="AN12" s="2" t="s">
        <v>199</v>
      </c>
      <c r="AO12" s="2" t="s">
        <v>216</v>
      </c>
      <c r="AP12" t="s">
        <v>217</v>
      </c>
      <c r="AQ12" t="s">
        <v>200</v>
      </c>
      <c r="AR12" t="s">
        <v>200</v>
      </c>
    </row>
    <row r="13" spans="1:44" x14ac:dyDescent="0.3">
      <c r="H13" s="2"/>
    </row>
  </sheetData>
  <hyperlinks>
    <hyperlink ref="Y2" r:id="rId1" xr:uid="{64B392C0-BD3D-4DAC-B7FD-2F4CCD655836}"/>
    <hyperlink ref="AN2" r:id="rId2" xr:uid="{A1AB18D2-17B7-42CD-BEDA-2EA9B04F810A}"/>
    <hyperlink ref="Y12" r:id="rId3" xr:uid="{9AAAC7DD-B763-4F8E-9F8C-93412D69274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63211-D29B-4081-8D98-19429294F69B}">
  <dimension ref="A1:H3"/>
  <sheetViews>
    <sheetView tabSelected="1" workbookViewId="0">
      <selection activeCell="C9" sqref="C9"/>
    </sheetView>
  </sheetViews>
  <sheetFormatPr defaultRowHeight="14.4" x14ac:dyDescent="0.3"/>
  <cols>
    <col min="1" max="1" width="28.33203125" customWidth="1"/>
    <col min="2" max="2" width="13.6640625" bestFit="1" customWidth="1"/>
    <col min="3" max="3" width="19.109375" bestFit="1" customWidth="1"/>
    <col min="4" max="4" width="24.33203125" bestFit="1" customWidth="1"/>
    <col min="5" max="5" width="22.88671875" bestFit="1" customWidth="1"/>
    <col min="6" max="6" width="17.44140625" bestFit="1" customWidth="1"/>
    <col min="7" max="7" width="26" bestFit="1" customWidth="1"/>
    <col min="8" max="8" width="20.33203125" bestFit="1" customWidth="1"/>
  </cols>
  <sheetData>
    <row r="1" spans="1:8" s="4" customFormat="1" x14ac:dyDescent="0.3">
      <c r="A1" s="4" t="s">
        <v>32</v>
      </c>
      <c r="B1" s="4" t="s">
        <v>33</v>
      </c>
      <c r="C1" s="4" t="s">
        <v>80</v>
      </c>
      <c r="D1" s="4" t="s">
        <v>81</v>
      </c>
      <c r="E1" s="4" t="s">
        <v>82</v>
      </c>
      <c r="F1" s="4" t="s">
        <v>83</v>
      </c>
      <c r="G1" s="4" t="s">
        <v>84</v>
      </c>
      <c r="H1" s="4" t="s">
        <v>85</v>
      </c>
    </row>
    <row r="2" spans="1:8" x14ac:dyDescent="0.3">
      <c r="A2" t="s">
        <v>223</v>
      </c>
      <c r="C2" t="s">
        <v>243</v>
      </c>
      <c r="D2" t="s">
        <v>249</v>
      </c>
      <c r="E2" t="s">
        <v>200</v>
      </c>
      <c r="F2" t="s">
        <v>200</v>
      </c>
      <c r="G2" t="s">
        <v>200</v>
      </c>
      <c r="H2" t="s">
        <v>200</v>
      </c>
    </row>
    <row r="3" spans="1:8" x14ac:dyDescent="0.3">
      <c r="A3" t="s">
        <v>256</v>
      </c>
      <c r="C3" t="s">
        <v>199</v>
      </c>
      <c r="D3" t="s">
        <v>249</v>
      </c>
      <c r="E3" t="s">
        <v>199</v>
      </c>
      <c r="F3" t="s">
        <v>199</v>
      </c>
      <c r="G3" t="s">
        <v>199</v>
      </c>
      <c r="H3" t="s">
        <v>199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C02D6-5705-4223-84CF-E40AF8AD4758}">
  <dimension ref="A1:L3"/>
  <sheetViews>
    <sheetView topLeftCell="D1" workbookViewId="0">
      <selection activeCell="A3" sqref="A3"/>
    </sheetView>
  </sheetViews>
  <sheetFormatPr defaultRowHeight="14.4" x14ac:dyDescent="0.3"/>
  <cols>
    <col min="1" max="1" width="23.109375" customWidth="1"/>
    <col min="2" max="2" width="13.6640625" bestFit="1" customWidth="1"/>
    <col min="3" max="3" width="20.6640625" bestFit="1" customWidth="1"/>
    <col min="4" max="4" width="23.5546875" bestFit="1" customWidth="1"/>
    <col min="5" max="5" width="23.5546875" customWidth="1"/>
    <col min="6" max="6" width="26" bestFit="1" customWidth="1"/>
    <col min="7" max="7" width="29.44140625" bestFit="1" customWidth="1"/>
    <col min="8" max="8" width="17.6640625" bestFit="1" customWidth="1"/>
    <col min="9" max="9" width="13.44140625" customWidth="1"/>
    <col min="10" max="10" width="17.33203125" bestFit="1" customWidth="1"/>
    <col min="11" max="11" width="13.6640625" bestFit="1" customWidth="1"/>
    <col min="12" max="12" width="29" bestFit="1" customWidth="1"/>
    <col min="13" max="13" width="26.5546875" bestFit="1" customWidth="1"/>
  </cols>
  <sheetData>
    <row r="1" spans="1:12" s="4" customFormat="1" x14ac:dyDescent="0.3">
      <c r="A1" s="4" t="s">
        <v>32</v>
      </c>
      <c r="B1" s="4" t="s">
        <v>33</v>
      </c>
      <c r="C1" s="4" t="s">
        <v>86</v>
      </c>
      <c r="D1" s="4" t="s">
        <v>87</v>
      </c>
      <c r="E1" s="4" t="s">
        <v>88</v>
      </c>
      <c r="F1" s="4" t="s">
        <v>89</v>
      </c>
      <c r="G1" s="4" t="s">
        <v>90</v>
      </c>
      <c r="H1" s="4" t="s">
        <v>91</v>
      </c>
      <c r="I1" s="4" t="s">
        <v>92</v>
      </c>
      <c r="J1" s="4" t="s">
        <v>93</v>
      </c>
      <c r="K1" s="4" t="s">
        <v>94</v>
      </c>
      <c r="L1" s="4" t="s">
        <v>95</v>
      </c>
    </row>
    <row r="2" spans="1:12" x14ac:dyDescent="0.3">
      <c r="A2" t="s">
        <v>223</v>
      </c>
      <c r="C2" t="s">
        <v>200</v>
      </c>
      <c r="D2" t="s">
        <v>200</v>
      </c>
      <c r="E2" t="s">
        <v>200</v>
      </c>
      <c r="F2" t="s">
        <v>200</v>
      </c>
      <c r="G2" t="b">
        <v>0</v>
      </c>
      <c r="H2" t="b">
        <v>0</v>
      </c>
      <c r="I2" t="s">
        <v>200</v>
      </c>
      <c r="J2" t="b">
        <v>0</v>
      </c>
      <c r="K2" t="s">
        <v>200</v>
      </c>
      <c r="L2" t="b">
        <v>0</v>
      </c>
    </row>
    <row r="3" spans="1:12" x14ac:dyDescent="0.3">
      <c r="A3" t="s">
        <v>256</v>
      </c>
      <c r="C3" t="s">
        <v>199</v>
      </c>
      <c r="D3" t="s">
        <v>199</v>
      </c>
      <c r="E3" t="s">
        <v>199</v>
      </c>
      <c r="F3" t="s">
        <v>199</v>
      </c>
      <c r="G3" t="b">
        <v>0</v>
      </c>
      <c r="H3" t="b">
        <v>0</v>
      </c>
      <c r="I3" t="s">
        <v>200</v>
      </c>
      <c r="J3" t="b">
        <v>0</v>
      </c>
      <c r="K3" t="s">
        <v>200</v>
      </c>
      <c r="L3" t="b">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A14E9-8188-4C29-AB1D-766D4670E624}">
  <dimension ref="A1:O26"/>
  <sheetViews>
    <sheetView workbookViewId="0">
      <selection activeCell="I3" sqref="I3:J3"/>
    </sheetView>
  </sheetViews>
  <sheetFormatPr defaultRowHeight="14.4" x14ac:dyDescent="0.3"/>
  <cols>
    <col min="1" max="1" width="21.77734375" customWidth="1"/>
    <col min="2" max="2" width="13.6640625" bestFit="1" customWidth="1"/>
    <col min="3" max="3" width="18.6640625" bestFit="1" customWidth="1"/>
    <col min="4" max="4" width="21.6640625" bestFit="1" customWidth="1"/>
    <col min="5" max="5" width="27.33203125" bestFit="1" customWidth="1"/>
    <col min="6" max="6" width="31.6640625" bestFit="1" customWidth="1"/>
    <col min="7" max="7" width="34.5546875" bestFit="1" customWidth="1"/>
    <col min="8" max="8" width="40.33203125" bestFit="1" customWidth="1"/>
    <col min="9" max="9" width="21.88671875" bestFit="1" customWidth="1"/>
    <col min="10" max="10" width="25.6640625" bestFit="1" customWidth="1"/>
    <col min="11" max="11" width="31.6640625" bestFit="1" customWidth="1"/>
    <col min="12" max="12" width="22.6640625" bestFit="1" customWidth="1"/>
    <col min="13" max="13" width="18.88671875" bestFit="1" customWidth="1"/>
    <col min="14" max="14" width="21.88671875" bestFit="1" customWidth="1"/>
    <col min="15" max="15" width="22.33203125" bestFit="1" customWidth="1"/>
  </cols>
  <sheetData>
    <row r="1" spans="1:15" s="4" customFormat="1" x14ac:dyDescent="0.3">
      <c r="A1" s="4" t="s">
        <v>32</v>
      </c>
      <c r="B1" s="4" t="s">
        <v>33</v>
      </c>
      <c r="C1" s="4" t="s">
        <v>96</v>
      </c>
      <c r="D1" s="4" t="s">
        <v>97</v>
      </c>
      <c r="E1" s="4" t="s">
        <v>98</v>
      </c>
      <c r="F1" s="4" t="s">
        <v>99</v>
      </c>
      <c r="G1" s="4" t="s">
        <v>100</v>
      </c>
      <c r="H1" s="4" t="s">
        <v>101</v>
      </c>
      <c r="I1" s="4" t="s">
        <v>102</v>
      </c>
      <c r="J1" s="4" t="s">
        <v>103</v>
      </c>
      <c r="K1" s="4" t="s">
        <v>104</v>
      </c>
      <c r="L1" s="4" t="s">
        <v>105</v>
      </c>
      <c r="M1" s="4" t="s">
        <v>106</v>
      </c>
      <c r="N1" s="4" t="s">
        <v>107</v>
      </c>
      <c r="O1" s="4" t="s">
        <v>108</v>
      </c>
    </row>
    <row r="2" spans="1:15" x14ac:dyDescent="0.3">
      <c r="A2" t="s">
        <v>223</v>
      </c>
      <c r="C2" t="s">
        <v>195</v>
      </c>
      <c r="D2" t="s">
        <v>195</v>
      </c>
      <c r="E2" t="b">
        <v>0</v>
      </c>
      <c r="F2" t="s">
        <v>195</v>
      </c>
      <c r="G2" t="s">
        <v>195</v>
      </c>
      <c r="H2" t="b">
        <v>0</v>
      </c>
      <c r="I2" t="s">
        <v>195</v>
      </c>
      <c r="J2" t="s">
        <v>195</v>
      </c>
      <c r="K2" t="b">
        <v>0</v>
      </c>
      <c r="L2" t="b">
        <v>0</v>
      </c>
      <c r="M2" t="s">
        <v>195</v>
      </c>
      <c r="N2" t="s">
        <v>195</v>
      </c>
      <c r="O2" t="b">
        <v>0</v>
      </c>
    </row>
    <row r="3" spans="1:15" x14ac:dyDescent="0.3">
      <c r="A3" t="s">
        <v>256</v>
      </c>
      <c r="C3" t="s">
        <v>195</v>
      </c>
      <c r="D3" t="s">
        <v>195</v>
      </c>
      <c r="E3" t="b">
        <v>0</v>
      </c>
      <c r="F3" t="s">
        <v>195</v>
      </c>
      <c r="G3" t="s">
        <v>195</v>
      </c>
      <c r="H3" t="b">
        <v>0</v>
      </c>
      <c r="I3" t="s">
        <v>195</v>
      </c>
      <c r="J3" t="s">
        <v>195</v>
      </c>
      <c r="K3" t="b">
        <v>0</v>
      </c>
      <c r="L3" t="b">
        <v>0</v>
      </c>
      <c r="M3" t="s">
        <v>195</v>
      </c>
      <c r="N3" t="s">
        <v>195</v>
      </c>
      <c r="O3" t="b">
        <v>0</v>
      </c>
    </row>
    <row r="26" spans="7:7" x14ac:dyDescent="0.3">
      <c r="G26" t="s">
        <v>109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492E8-285B-40F5-8F25-A8AB3ED602D4}">
  <dimension ref="A1:U3"/>
  <sheetViews>
    <sheetView topLeftCell="K1" workbookViewId="0">
      <selection activeCell="F2" sqref="F2"/>
    </sheetView>
  </sheetViews>
  <sheetFormatPr defaultRowHeight="14.4" x14ac:dyDescent="0.3"/>
  <cols>
    <col min="1" max="1" width="26.5546875" customWidth="1"/>
    <col min="2" max="2" width="13.6640625" bestFit="1" customWidth="1"/>
    <col min="3" max="3" width="29.33203125" customWidth="1"/>
    <col min="4" max="4" width="22.33203125" bestFit="1" customWidth="1"/>
    <col min="5" max="5" width="12.6640625" bestFit="1" customWidth="1"/>
    <col min="6" max="6" width="27.88671875" bestFit="1" customWidth="1"/>
    <col min="7" max="7" width="20.44140625" bestFit="1" customWidth="1"/>
    <col min="8" max="8" width="28.44140625" bestFit="1" customWidth="1"/>
    <col min="9" max="9" width="11.33203125" bestFit="1" customWidth="1"/>
    <col min="10" max="10" width="23.109375" customWidth="1"/>
    <col min="11" max="11" width="13.88671875" bestFit="1" customWidth="1"/>
    <col min="12" max="12" width="6.88671875" bestFit="1" customWidth="1"/>
    <col min="13" max="13" width="15" bestFit="1" customWidth="1"/>
    <col min="14" max="14" width="15.109375" customWidth="1"/>
    <col min="15" max="15" width="11.6640625" bestFit="1" customWidth="1"/>
    <col min="16" max="16" width="16.109375" bestFit="1" customWidth="1"/>
    <col min="17" max="17" width="16.33203125" bestFit="1" customWidth="1"/>
    <col min="18" max="18" width="19.6640625" bestFit="1" customWidth="1"/>
    <col min="19" max="19" width="15.33203125" bestFit="1" customWidth="1"/>
    <col min="20" max="20" width="14" bestFit="1" customWidth="1"/>
    <col min="21" max="21" width="27.44140625" bestFit="1" customWidth="1"/>
  </cols>
  <sheetData>
    <row r="1" spans="1:21" s="4" customFormat="1" x14ac:dyDescent="0.3">
      <c r="A1" s="4" t="s">
        <v>32</v>
      </c>
      <c r="B1" s="4" t="s">
        <v>33</v>
      </c>
      <c r="C1" s="4" t="s">
        <v>110</v>
      </c>
      <c r="D1" s="4" t="s">
        <v>111</v>
      </c>
      <c r="E1" s="4" t="s">
        <v>112</v>
      </c>
      <c r="F1" s="4" t="s">
        <v>113</v>
      </c>
      <c r="G1" s="4" t="s">
        <v>114</v>
      </c>
      <c r="H1" s="4" t="s">
        <v>115</v>
      </c>
      <c r="I1" s="4" t="s">
        <v>116</v>
      </c>
      <c r="J1" s="4" t="s">
        <v>117</v>
      </c>
      <c r="K1" s="4" t="s">
        <v>118</v>
      </c>
      <c r="L1" s="4" t="s">
        <v>119</v>
      </c>
      <c r="M1" s="4" t="s">
        <v>120</v>
      </c>
      <c r="N1" s="4" t="s">
        <v>121</v>
      </c>
      <c r="O1" s="4" t="s">
        <v>122</v>
      </c>
      <c r="P1" s="4" t="s">
        <v>123</v>
      </c>
      <c r="Q1" s="4" t="s">
        <v>124</v>
      </c>
      <c r="R1" s="4" t="s">
        <v>125</v>
      </c>
      <c r="S1" s="4" t="s">
        <v>126</v>
      </c>
      <c r="T1" s="4" t="s">
        <v>127</v>
      </c>
      <c r="U1" s="4" t="s">
        <v>128</v>
      </c>
    </row>
    <row r="2" spans="1:21" ht="72" x14ac:dyDescent="0.3">
      <c r="A2" t="s">
        <v>223</v>
      </c>
      <c r="C2" t="s">
        <v>222</v>
      </c>
      <c r="D2" s="9" t="s">
        <v>242</v>
      </c>
      <c r="E2" t="s">
        <v>200</v>
      </c>
      <c r="F2" s="2" t="s">
        <v>244</v>
      </c>
      <c r="G2" t="s">
        <v>241</v>
      </c>
      <c r="H2" s="9" t="s">
        <v>245</v>
      </c>
      <c r="I2" t="s">
        <v>199</v>
      </c>
      <c r="J2" s="9" t="s">
        <v>246</v>
      </c>
      <c r="K2" t="s">
        <v>247</v>
      </c>
      <c r="L2" s="9" t="s">
        <v>248</v>
      </c>
      <c r="M2" s="9"/>
      <c r="N2" s="9" t="s">
        <v>200</v>
      </c>
      <c r="O2" s="9" t="s">
        <v>249</v>
      </c>
      <c r="P2" s="9" t="s">
        <v>200</v>
      </c>
      <c r="Q2" s="9" t="s">
        <v>200</v>
      </c>
      <c r="R2" s="9" t="s">
        <v>200</v>
      </c>
      <c r="S2" s="9" t="s">
        <v>249</v>
      </c>
      <c r="T2" s="9" t="s">
        <v>200</v>
      </c>
      <c r="U2" s="9" t="s">
        <v>200</v>
      </c>
    </row>
    <row r="3" spans="1:21" x14ac:dyDescent="0.3">
      <c r="A3" t="s">
        <v>256</v>
      </c>
      <c r="C3" t="s">
        <v>221</v>
      </c>
      <c r="D3" t="s">
        <v>266</v>
      </c>
      <c r="E3" t="s">
        <v>200</v>
      </c>
      <c r="F3" t="str">
        <f>$I$2</f>
        <v>Not reported</v>
      </c>
      <c r="G3" t="s">
        <v>200</v>
      </c>
      <c r="H3" t="s">
        <v>200</v>
      </c>
      <c r="I3" t="s">
        <v>200</v>
      </c>
      <c r="J3" t="s">
        <v>200</v>
      </c>
      <c r="K3" t="s">
        <v>200</v>
      </c>
      <c r="L3" t="s">
        <v>199</v>
      </c>
      <c r="M3" t="s">
        <v>199</v>
      </c>
      <c r="N3" s="9" t="s">
        <v>200</v>
      </c>
      <c r="O3" s="9" t="s">
        <v>249</v>
      </c>
      <c r="P3" s="9" t="s">
        <v>200</v>
      </c>
      <c r="Q3" s="9" t="s">
        <v>200</v>
      </c>
      <c r="R3" s="9" t="s">
        <v>200</v>
      </c>
      <c r="S3" s="9" t="s">
        <v>249</v>
      </c>
      <c r="T3" s="9" t="s">
        <v>200</v>
      </c>
      <c r="U3" s="9" t="s">
        <v>200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6557A-C0C1-4ADF-A07A-9E3176C81019}">
  <dimension ref="A1:S3"/>
  <sheetViews>
    <sheetView topLeftCell="M1" workbookViewId="0">
      <selection activeCell="D2" sqref="D2:D3"/>
    </sheetView>
  </sheetViews>
  <sheetFormatPr defaultRowHeight="14.4" x14ac:dyDescent="0.3"/>
  <cols>
    <col min="1" max="1" width="33" customWidth="1"/>
    <col min="2" max="2" width="13.6640625" bestFit="1" customWidth="1"/>
    <col min="3" max="3" width="13.6640625" customWidth="1"/>
    <col min="4" max="4" width="14.5546875" bestFit="1" customWidth="1"/>
    <col min="5" max="5" width="99.6640625" style="2" customWidth="1"/>
    <col min="6" max="6" width="43.5546875" style="2" customWidth="1"/>
    <col min="7" max="7" width="27.6640625" bestFit="1" customWidth="1"/>
    <col min="8" max="8" width="18.88671875" bestFit="1" customWidth="1"/>
    <col min="9" max="9" width="17.44140625" bestFit="1" customWidth="1"/>
    <col min="10" max="10" width="16.88671875" bestFit="1" customWidth="1"/>
    <col min="11" max="11" width="11.33203125" bestFit="1" customWidth="1"/>
    <col min="12" max="12" width="37.109375" bestFit="1" customWidth="1"/>
    <col min="13" max="13" width="35.6640625" bestFit="1" customWidth="1"/>
    <col min="14" max="14" width="17.6640625" bestFit="1" customWidth="1"/>
    <col min="15" max="15" width="14.5546875" bestFit="1" customWidth="1"/>
    <col min="16" max="16" width="20.6640625" bestFit="1" customWidth="1"/>
    <col min="17" max="17" width="24.33203125" bestFit="1" customWidth="1"/>
    <col min="18" max="18" width="14.109375" bestFit="1" customWidth="1"/>
    <col min="19" max="19" width="44.109375" bestFit="1" customWidth="1"/>
  </cols>
  <sheetData>
    <row r="1" spans="1:19" s="4" customFormat="1" x14ac:dyDescent="0.3">
      <c r="A1" s="4" t="s">
        <v>32</v>
      </c>
      <c r="B1" s="4" t="s">
        <v>33</v>
      </c>
      <c r="C1" s="4" t="s">
        <v>129</v>
      </c>
      <c r="D1" s="4" t="s">
        <v>252</v>
      </c>
      <c r="E1" s="5" t="s">
        <v>130</v>
      </c>
      <c r="F1" s="5" t="s">
        <v>131</v>
      </c>
      <c r="G1" s="4" t="s">
        <v>132</v>
      </c>
      <c r="H1" s="4" t="s">
        <v>133</v>
      </c>
      <c r="I1" s="4" t="s">
        <v>134</v>
      </c>
      <c r="J1" s="4" t="s">
        <v>135</v>
      </c>
      <c r="K1" s="4" t="s">
        <v>136</v>
      </c>
      <c r="L1" s="4" t="s">
        <v>137</v>
      </c>
      <c r="M1" s="4" t="s">
        <v>138</v>
      </c>
      <c r="N1" s="4" t="s">
        <v>139</v>
      </c>
      <c r="O1" s="4" t="s">
        <v>140</v>
      </c>
      <c r="P1" s="4" t="s">
        <v>141</v>
      </c>
      <c r="Q1" s="4" t="s">
        <v>142</v>
      </c>
      <c r="R1" s="4" t="s">
        <v>143</v>
      </c>
      <c r="S1" s="4" t="s">
        <v>144</v>
      </c>
    </row>
    <row r="2" spans="1:19" ht="216" x14ac:dyDescent="0.3">
      <c r="A2" t="s">
        <v>223</v>
      </c>
      <c r="C2" t="s">
        <v>263</v>
      </c>
      <c r="D2" t="s">
        <v>275</v>
      </c>
      <c r="E2" s="2" t="s">
        <v>262</v>
      </c>
      <c r="F2" s="2" t="s">
        <v>198</v>
      </c>
      <c r="G2" t="s">
        <v>199</v>
      </c>
      <c r="H2" t="b">
        <v>0</v>
      </c>
      <c r="I2" t="b">
        <v>1</v>
      </c>
      <c r="J2" t="s">
        <v>199</v>
      </c>
      <c r="K2">
        <v>2</v>
      </c>
      <c r="L2" t="s">
        <v>249</v>
      </c>
      <c r="M2" t="s">
        <v>199</v>
      </c>
      <c r="N2">
        <v>90</v>
      </c>
      <c r="O2" s="9" t="s">
        <v>250</v>
      </c>
      <c r="P2" t="b">
        <v>0</v>
      </c>
      <c r="Q2" t="b">
        <v>1</v>
      </c>
      <c r="R2">
        <v>69</v>
      </c>
      <c r="S2" t="s">
        <v>200</v>
      </c>
    </row>
    <row r="3" spans="1:19" x14ac:dyDescent="0.3">
      <c r="A3" t="s">
        <v>256</v>
      </c>
      <c r="C3" t="s">
        <v>264</v>
      </c>
      <c r="D3" t="s">
        <v>256</v>
      </c>
      <c r="E3" s="2" t="s">
        <v>265</v>
      </c>
      <c r="F3" s="2" t="s">
        <v>199</v>
      </c>
      <c r="G3" t="s">
        <v>199</v>
      </c>
      <c r="H3" t="b">
        <v>1</v>
      </c>
      <c r="I3" t="b">
        <v>0</v>
      </c>
      <c r="J3" t="s">
        <v>199</v>
      </c>
      <c r="K3" t="s">
        <v>249</v>
      </c>
      <c r="L3" t="s">
        <v>249</v>
      </c>
      <c r="M3" t="s">
        <v>199</v>
      </c>
      <c r="N3" t="s">
        <v>249</v>
      </c>
      <c r="O3" t="s">
        <v>200</v>
      </c>
      <c r="P3" t="b">
        <v>0</v>
      </c>
      <c r="Q3" t="b">
        <v>0</v>
      </c>
      <c r="R3" t="s">
        <v>249</v>
      </c>
      <c r="S3" t="s">
        <v>200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812C3-6628-4643-8CCD-9E55983DDE61}">
  <dimension ref="A1:R4"/>
  <sheetViews>
    <sheetView workbookViewId="0">
      <selection activeCell="C2" sqref="C2"/>
    </sheetView>
  </sheetViews>
  <sheetFormatPr defaultRowHeight="14.4" x14ac:dyDescent="0.3"/>
  <cols>
    <col min="1" max="1" width="23" customWidth="1"/>
    <col min="2" max="2" width="13.6640625" bestFit="1" customWidth="1"/>
    <col min="3" max="3" width="13.6640625" customWidth="1"/>
    <col min="4" max="4" width="20.5546875" bestFit="1" customWidth="1"/>
    <col min="5" max="5" width="24.109375" bestFit="1" customWidth="1"/>
    <col min="6" max="6" width="19" bestFit="1" customWidth="1"/>
    <col min="7" max="7" width="17.6640625" bestFit="1" customWidth="1"/>
    <col min="8" max="8" width="50.6640625" customWidth="1"/>
    <col min="9" max="9" width="26.33203125" bestFit="1" customWidth="1"/>
    <col min="10" max="10" width="34.88671875" bestFit="1" customWidth="1"/>
    <col min="11" max="11" width="21.6640625" bestFit="1" customWidth="1"/>
    <col min="12" max="12" width="20.44140625" bestFit="1" customWidth="1"/>
    <col min="13" max="13" width="17.6640625" bestFit="1" customWidth="1"/>
    <col min="14" max="15" width="16.33203125" bestFit="1" customWidth="1"/>
    <col min="16" max="16" width="18.44140625" bestFit="1" customWidth="1"/>
    <col min="17" max="17" width="13.44140625" bestFit="1" customWidth="1"/>
    <col min="18" max="18" width="13" bestFit="1" customWidth="1"/>
  </cols>
  <sheetData>
    <row r="1" spans="1:18" s="4" customFormat="1" x14ac:dyDescent="0.3">
      <c r="A1" s="4" t="s">
        <v>32</v>
      </c>
      <c r="B1" s="4" t="s">
        <v>33</v>
      </c>
      <c r="C1" s="4" t="s">
        <v>252</v>
      </c>
      <c r="D1" s="4" t="s">
        <v>145</v>
      </c>
      <c r="E1" s="4" t="s">
        <v>146</v>
      </c>
      <c r="F1" s="4" t="s">
        <v>147</v>
      </c>
      <c r="G1" s="4" t="s">
        <v>148</v>
      </c>
      <c r="H1" s="4" t="s">
        <v>149</v>
      </c>
      <c r="I1" s="4" t="s">
        <v>150</v>
      </c>
      <c r="J1" s="4" t="s">
        <v>151</v>
      </c>
      <c r="K1" s="4" t="s">
        <v>152</v>
      </c>
      <c r="L1" s="4" t="s">
        <v>153</v>
      </c>
      <c r="M1" s="4" t="s">
        <v>154</v>
      </c>
      <c r="N1" s="4" t="s">
        <v>155</v>
      </c>
      <c r="O1" s="4" t="s">
        <v>156</v>
      </c>
      <c r="P1" s="4" t="s">
        <v>157</v>
      </c>
      <c r="Q1" s="4" t="s">
        <v>158</v>
      </c>
      <c r="R1" s="4" t="s">
        <v>159</v>
      </c>
    </row>
    <row r="2" spans="1:18" ht="72" x14ac:dyDescent="0.3">
      <c r="A2" t="s">
        <v>223</v>
      </c>
      <c r="C2" t="s">
        <v>275</v>
      </c>
      <c r="D2" t="s">
        <v>199</v>
      </c>
      <c r="E2" t="b">
        <v>1</v>
      </c>
      <c r="F2" s="14">
        <v>98</v>
      </c>
      <c r="G2" t="s">
        <v>254</v>
      </c>
      <c r="H2" s="2" t="s">
        <v>255</v>
      </c>
      <c r="I2" t="s">
        <v>249</v>
      </c>
      <c r="J2" t="s">
        <v>199</v>
      </c>
      <c r="K2">
        <v>1400</v>
      </c>
      <c r="L2" t="s">
        <v>251</v>
      </c>
      <c r="M2">
        <v>171.5</v>
      </c>
      <c r="N2" t="s">
        <v>251</v>
      </c>
      <c r="O2" t="b">
        <v>1</v>
      </c>
      <c r="P2" t="b">
        <v>0</v>
      </c>
      <c r="Q2" t="s">
        <v>199</v>
      </c>
      <c r="R2" t="s">
        <v>199</v>
      </c>
    </row>
    <row r="3" spans="1:18" ht="28.8" x14ac:dyDescent="0.3">
      <c r="A3" t="s">
        <v>223</v>
      </c>
      <c r="C3" t="s">
        <v>275</v>
      </c>
      <c r="D3" t="s">
        <v>199</v>
      </c>
      <c r="E3" t="b">
        <v>1</v>
      </c>
      <c r="F3" s="14">
        <v>8</v>
      </c>
      <c r="G3" t="s">
        <v>253</v>
      </c>
      <c r="H3" s="2" t="s">
        <v>273</v>
      </c>
      <c r="I3" t="s">
        <v>249</v>
      </c>
      <c r="J3" t="s">
        <v>199</v>
      </c>
      <c r="K3" s="14">
        <v>1400</v>
      </c>
      <c r="L3" t="s">
        <v>251</v>
      </c>
      <c r="M3">
        <v>1400</v>
      </c>
      <c r="N3" t="s">
        <v>251</v>
      </c>
      <c r="O3" t="b">
        <v>1</v>
      </c>
      <c r="P3" t="b">
        <v>0</v>
      </c>
      <c r="Q3" t="s">
        <v>199</v>
      </c>
      <c r="R3" t="s">
        <v>199</v>
      </c>
    </row>
    <row r="4" spans="1:18" ht="28.8" x14ac:dyDescent="0.3">
      <c r="A4" t="s">
        <v>256</v>
      </c>
      <c r="C4" t="s">
        <v>256</v>
      </c>
      <c r="D4" t="s">
        <v>199</v>
      </c>
      <c r="E4" t="b">
        <v>0</v>
      </c>
      <c r="F4" s="14" t="s">
        <v>249</v>
      </c>
      <c r="G4" t="s">
        <v>199</v>
      </c>
      <c r="H4" s="2" t="s">
        <v>274</v>
      </c>
      <c r="I4" t="s">
        <v>249</v>
      </c>
      <c r="J4" t="s">
        <v>199</v>
      </c>
      <c r="K4" t="s">
        <v>249</v>
      </c>
      <c r="L4" t="s">
        <v>199</v>
      </c>
      <c r="M4" t="s">
        <v>249</v>
      </c>
      <c r="N4" t="s">
        <v>199</v>
      </c>
      <c r="O4" t="s">
        <v>199</v>
      </c>
      <c r="P4" t="s">
        <v>199</v>
      </c>
      <c r="Q4" t="s">
        <v>199</v>
      </c>
      <c r="R4" t="s">
        <v>199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9E1CE-6F0A-4720-B825-D88B9C03E178}">
  <dimension ref="A1:D3"/>
  <sheetViews>
    <sheetView workbookViewId="0">
      <selection activeCell="A3" sqref="A3"/>
    </sheetView>
  </sheetViews>
  <sheetFormatPr defaultRowHeight="14.4" x14ac:dyDescent="0.3"/>
  <cols>
    <col min="1" max="1" width="7.88671875" bestFit="1" customWidth="1"/>
    <col min="2" max="2" width="13.6640625" bestFit="1" customWidth="1"/>
    <col min="3" max="3" width="18" bestFit="1" customWidth="1"/>
    <col min="4" max="4" width="21.88671875" bestFit="1" customWidth="1"/>
  </cols>
  <sheetData>
    <row r="1" spans="1:4" x14ac:dyDescent="0.3">
      <c r="A1" s="4" t="s">
        <v>32</v>
      </c>
      <c r="B1" s="4" t="s">
        <v>33</v>
      </c>
      <c r="C1" s="4" t="s">
        <v>160</v>
      </c>
      <c r="D1" s="4" t="s">
        <v>161</v>
      </c>
    </row>
    <row r="2" spans="1:4" x14ac:dyDescent="0.3">
      <c r="A2" t="s">
        <v>223</v>
      </c>
      <c r="C2" s="13" t="s">
        <v>199</v>
      </c>
      <c r="D2" s="13" t="s">
        <v>199</v>
      </c>
    </row>
    <row r="3" spans="1:4" x14ac:dyDescent="0.3">
      <c r="A3" t="s">
        <v>256</v>
      </c>
      <c r="C3" s="13" t="s">
        <v>199</v>
      </c>
      <c r="D3" s="13" t="s">
        <v>199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C21D1-1228-4F44-AA26-947BF92BFA1B}">
  <dimension ref="A1:J3"/>
  <sheetViews>
    <sheetView workbookViewId="0">
      <selection activeCell="C3" sqref="C3:H3"/>
    </sheetView>
  </sheetViews>
  <sheetFormatPr defaultRowHeight="14.4" x14ac:dyDescent="0.3"/>
  <cols>
    <col min="1" max="1" width="7.88671875" bestFit="1" customWidth="1"/>
    <col min="2" max="2" width="13.6640625" bestFit="1" customWidth="1"/>
    <col min="3" max="3" width="23.5546875" bestFit="1" customWidth="1"/>
    <col min="4" max="4" width="15.6640625" bestFit="1" customWidth="1"/>
    <col min="5" max="5" width="28" bestFit="1" customWidth="1"/>
    <col min="6" max="6" width="20.33203125" bestFit="1" customWidth="1"/>
    <col min="7" max="7" width="21" bestFit="1" customWidth="1"/>
    <col min="8" max="8" width="19.109375" bestFit="1" customWidth="1"/>
  </cols>
  <sheetData>
    <row r="1" spans="1:10" x14ac:dyDescent="0.3">
      <c r="A1" s="4" t="s">
        <v>32</v>
      </c>
      <c r="B1" s="4" t="s">
        <v>33</v>
      </c>
      <c r="C1" s="4" t="s">
        <v>162</v>
      </c>
      <c r="D1" s="4" t="s">
        <v>163</v>
      </c>
      <c r="E1" s="4" t="s">
        <v>164</v>
      </c>
      <c r="F1" s="4" t="s">
        <v>165</v>
      </c>
      <c r="G1" s="4" t="s">
        <v>166</v>
      </c>
      <c r="H1" s="4" t="s">
        <v>167</v>
      </c>
      <c r="I1" s="4"/>
      <c r="J1" s="4"/>
    </row>
    <row r="2" spans="1:10" x14ac:dyDescent="0.3">
      <c r="A2" t="s">
        <v>223</v>
      </c>
      <c r="B2" s="4"/>
      <c r="C2" s="13" t="s">
        <v>199</v>
      </c>
      <c r="D2" s="13" t="s">
        <v>199</v>
      </c>
      <c r="E2" s="13" t="s">
        <v>199</v>
      </c>
      <c r="F2" s="13" t="s">
        <v>199</v>
      </c>
      <c r="G2" s="13" t="s">
        <v>199</v>
      </c>
      <c r="H2" s="13" t="s">
        <v>199</v>
      </c>
      <c r="I2" s="4"/>
      <c r="J2" s="4"/>
    </row>
    <row r="3" spans="1:10" x14ac:dyDescent="0.3">
      <c r="A3" t="s">
        <v>256</v>
      </c>
      <c r="C3" s="13" t="s">
        <v>199</v>
      </c>
      <c r="D3" s="13" t="s">
        <v>199</v>
      </c>
      <c r="E3" s="13" t="s">
        <v>199</v>
      </c>
      <c r="F3" s="13" t="s">
        <v>199</v>
      </c>
      <c r="G3" s="13" t="s">
        <v>199</v>
      </c>
      <c r="H3" s="13" t="s">
        <v>199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9A08F-1152-41DE-9C0A-510CE091C520}">
  <dimension ref="A1:F3"/>
  <sheetViews>
    <sheetView workbookViewId="0">
      <selection activeCell="A3" sqref="A3"/>
    </sheetView>
  </sheetViews>
  <sheetFormatPr defaultRowHeight="14.4" x14ac:dyDescent="0.3"/>
  <cols>
    <col min="1" max="1" width="34.21875" customWidth="1"/>
    <col min="2" max="2" width="13.6640625" bestFit="1" customWidth="1"/>
    <col min="3" max="3" width="20.109375" bestFit="1" customWidth="1"/>
    <col min="4" max="4" width="12.33203125" bestFit="1" customWidth="1"/>
    <col min="5" max="5" width="18.44140625" bestFit="1" customWidth="1"/>
    <col min="6" max="6" width="24.44140625" bestFit="1" customWidth="1"/>
    <col min="7" max="7" width="19.44140625" bestFit="1" customWidth="1"/>
    <col min="8" max="8" width="27.33203125" bestFit="1" customWidth="1"/>
    <col min="9" max="9" width="10.6640625" bestFit="1" customWidth="1"/>
    <col min="10" max="10" width="13.5546875" bestFit="1" customWidth="1"/>
    <col min="11" max="11" width="12.88671875" bestFit="1" customWidth="1"/>
    <col min="12" max="12" width="6.6640625" bestFit="1" customWidth="1"/>
    <col min="13" max="13" width="14.44140625" bestFit="1" customWidth="1"/>
    <col min="14" max="14" width="4.33203125" bestFit="1" customWidth="1"/>
    <col min="15" max="15" width="11.5546875" bestFit="1" customWidth="1"/>
    <col min="16" max="16" width="16.33203125" bestFit="1" customWidth="1"/>
    <col min="17" max="17" width="15.6640625" bestFit="1" customWidth="1"/>
    <col min="18" max="18" width="19.44140625" bestFit="1" customWidth="1"/>
    <col min="19" max="19" width="15" bestFit="1" customWidth="1"/>
    <col min="20" max="20" width="13.5546875" bestFit="1" customWidth="1"/>
    <col min="21" max="21" width="26.6640625" bestFit="1" customWidth="1"/>
  </cols>
  <sheetData>
    <row r="1" spans="1:6" s="4" customFormat="1" x14ac:dyDescent="0.3">
      <c r="A1" s="4" t="s">
        <v>32</v>
      </c>
      <c r="B1" s="4" t="s">
        <v>33</v>
      </c>
      <c r="C1" s="4" t="s">
        <v>168</v>
      </c>
      <c r="D1" s="4" t="s">
        <v>169</v>
      </c>
      <c r="E1" s="4" t="s">
        <v>170</v>
      </c>
      <c r="F1" s="4" t="s">
        <v>171</v>
      </c>
    </row>
    <row r="2" spans="1:6" x14ac:dyDescent="0.3">
      <c r="A2" t="s">
        <v>223</v>
      </c>
      <c r="C2" s="13" t="s">
        <v>220</v>
      </c>
      <c r="D2" s="13" t="s">
        <v>220</v>
      </c>
      <c r="E2" s="13" t="s">
        <v>220</v>
      </c>
      <c r="F2" s="13" t="s">
        <v>220</v>
      </c>
    </row>
    <row r="3" spans="1:6" x14ac:dyDescent="0.3">
      <c r="A3" t="s">
        <v>256</v>
      </c>
      <c r="C3" s="9" t="s">
        <v>258</v>
      </c>
      <c r="D3" t="b">
        <v>1</v>
      </c>
      <c r="E3" t="s">
        <v>199</v>
      </c>
      <c r="F3" s="13" t="s">
        <v>199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92FA9-CDEC-4AB0-A8F7-D7325500ADC2}">
  <dimension ref="A1:I2"/>
  <sheetViews>
    <sheetView workbookViewId="0">
      <selection activeCell="C5" sqref="C5"/>
    </sheetView>
  </sheetViews>
  <sheetFormatPr defaultRowHeight="14.4" x14ac:dyDescent="0.3"/>
  <cols>
    <col min="1" max="1" width="7.88671875" bestFit="1" customWidth="1"/>
    <col min="2" max="2" width="13.6640625" bestFit="1" customWidth="1"/>
    <col min="3" max="3" width="13.6640625" customWidth="1"/>
    <col min="4" max="4" width="24.88671875" bestFit="1" customWidth="1"/>
    <col min="5" max="5" width="16.109375" bestFit="1" customWidth="1"/>
    <col min="6" max="6" width="21.33203125" bestFit="1" customWidth="1"/>
    <col min="7" max="8" width="22.6640625" bestFit="1" customWidth="1"/>
    <col min="9" max="9" width="24.88671875" bestFit="1" customWidth="1"/>
  </cols>
  <sheetData>
    <row r="1" spans="1:9" s="4" customFormat="1" x14ac:dyDescent="0.3">
      <c r="A1" s="4" t="s">
        <v>32</v>
      </c>
      <c r="B1" s="4" t="s">
        <v>33</v>
      </c>
      <c r="C1" s="4" t="s">
        <v>252</v>
      </c>
      <c r="D1" s="4" t="s">
        <v>172</v>
      </c>
      <c r="E1" s="4" t="s">
        <v>173</v>
      </c>
      <c r="F1" s="4" t="s">
        <v>174</v>
      </c>
      <c r="G1" s="4" t="s">
        <v>175</v>
      </c>
      <c r="H1" s="4" t="s">
        <v>176</v>
      </c>
      <c r="I1" s="4" t="s">
        <v>177</v>
      </c>
    </row>
    <row r="2" spans="1:9" x14ac:dyDescent="0.3">
      <c r="A2" t="s">
        <v>223</v>
      </c>
      <c r="C2" t="s">
        <v>275</v>
      </c>
      <c r="D2">
        <v>1.75</v>
      </c>
      <c r="E2" t="s">
        <v>199</v>
      </c>
      <c r="F2">
        <v>0</v>
      </c>
      <c r="I2" t="s">
        <v>199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E0F65-EF76-4E02-84A0-2A0A66596424}">
  <dimension ref="A1:K2"/>
  <sheetViews>
    <sheetView workbookViewId="0">
      <selection activeCell="E10" sqref="E10"/>
    </sheetView>
  </sheetViews>
  <sheetFormatPr defaultRowHeight="14.4" x14ac:dyDescent="0.3"/>
  <cols>
    <col min="1" max="1" width="7.88671875" bestFit="1" customWidth="1"/>
    <col min="2" max="2" width="13.6640625" bestFit="1" customWidth="1"/>
    <col min="3" max="3" width="31.5546875" bestFit="1" customWidth="1"/>
    <col min="4" max="4" width="30.6640625" bestFit="1" customWidth="1"/>
    <col min="5" max="5" width="31.109375" bestFit="1" customWidth="1"/>
    <col min="6" max="6" width="31.109375" customWidth="1"/>
    <col min="7" max="7" width="24.44140625" bestFit="1" customWidth="1"/>
    <col min="8" max="8" width="28" bestFit="1" customWidth="1"/>
    <col min="9" max="9" width="23" bestFit="1" customWidth="1"/>
    <col min="10" max="10" width="23.5546875" bestFit="1" customWidth="1"/>
    <col min="11" max="11" width="25.6640625" bestFit="1" customWidth="1"/>
  </cols>
  <sheetData>
    <row r="1" spans="1:11" s="4" customFormat="1" x14ac:dyDescent="0.3">
      <c r="A1" s="4" t="s">
        <v>32</v>
      </c>
      <c r="B1" s="4" t="s">
        <v>33</v>
      </c>
      <c r="C1" s="4" t="s">
        <v>178</v>
      </c>
      <c r="D1" s="4" t="s">
        <v>179</v>
      </c>
      <c r="E1" s="4" t="s">
        <v>180</v>
      </c>
      <c r="F1" s="4" t="s">
        <v>181</v>
      </c>
      <c r="G1" s="4" t="s">
        <v>182</v>
      </c>
      <c r="H1" s="4" t="s">
        <v>183</v>
      </c>
      <c r="I1" s="4" t="s">
        <v>184</v>
      </c>
      <c r="J1" s="4" t="s">
        <v>185</v>
      </c>
      <c r="K1" s="4" t="s">
        <v>186</v>
      </c>
    </row>
    <row r="2" spans="1:11" x14ac:dyDescent="0.3">
      <c r="A2" t="s">
        <v>223</v>
      </c>
      <c r="C2" t="s">
        <v>220</v>
      </c>
      <c r="D2" t="s">
        <v>195</v>
      </c>
      <c r="E2" t="s">
        <v>195</v>
      </c>
      <c r="F2" t="s">
        <v>259</v>
      </c>
      <c r="G2" t="s">
        <v>220</v>
      </c>
      <c r="H2" t="s">
        <v>260</v>
      </c>
      <c r="I2" t="s">
        <v>261</v>
      </c>
      <c r="J2" t="s">
        <v>220</v>
      </c>
      <c r="K2" t="s">
        <v>200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687306-5EE8-48FB-AAB3-C4073C5AFB00}">
  <ds:schemaRefs>
    <ds:schemaRef ds:uri="http://schemas.microsoft.com/DataMashup"/>
  </ds:schemaRefs>
</ds:datastoreItem>
</file>

<file path=docMetadata/LabelInfo.xml><?xml version="1.0" encoding="utf-8"?>
<clbl:labelList xmlns:clbl="http://schemas.microsoft.com/office/2020/mipLabelMetadata">
  <clbl:label id="{117b418d-fb21-416f-a85f-1e9ff725bf2c}" enabled="0" method="" siteId="{117b418d-fb21-416f-a85f-1e9ff725bf2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README</vt:lpstr>
      <vt:lpstr>ASMRMetadata</vt:lpstr>
      <vt:lpstr>project</vt:lpstr>
      <vt:lpstr>dataManagement</vt:lpstr>
      <vt:lpstr>event</vt:lpstr>
      <vt:lpstr>location</vt:lpstr>
      <vt:lpstr>spatialScope</vt:lpstr>
      <vt:lpstr>taxonomicScope</vt:lpstr>
      <vt:lpstr>organismalScope</vt:lpstr>
      <vt:lpstr>materials</vt:lpstr>
      <vt:lpstr>methods</vt:lpstr>
      <vt:lpstr>samplingEffort</vt:lpstr>
      <vt:lpstr>safety</vt:lpstr>
      <vt:lpstr>costAnalysis</vt:lpstr>
      <vt:lpstr>materialSample</vt:lpstr>
      <vt:lpstr>digitalSample</vt:lpstr>
      <vt:lpstr>parameters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CAMPANINI CLAUDIA</dc:creator>
  <cp:keywords/>
  <dc:description/>
  <cp:lastModifiedBy>CAMPANINI CLAUDIA</cp:lastModifiedBy>
  <cp:revision/>
  <dcterms:created xsi:type="dcterms:W3CDTF">2026-07-28T23:14:11Z</dcterms:created>
  <dcterms:modified xsi:type="dcterms:W3CDTF">2026-09-20T13:15:26Z</dcterms:modified>
  <cp:category/>
  <cp:contentStatus/>
</cp:coreProperties>
</file>